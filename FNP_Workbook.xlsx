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DA Projects\Excel_FNP_Project\"/>
    </mc:Choice>
  </mc:AlternateContent>
  <xr:revisionPtr revIDLastSave="0" documentId="13_ncr:1_{C1FB66CE-CBF5-4CED-96EB-BA7060C8E29F}" xr6:coauthVersionLast="47" xr6:coauthVersionMax="47" xr10:uidLastSave="{00000000-0000-0000-0000-000000000000}"/>
  <bookViews>
    <workbookView xWindow="-108" yWindow="-108" windowWidth="23256" windowHeight="12456" firstSheet="1" activeTab="4" xr2:uid="{C000C3E2-91DD-4FFA-AE9D-5C6870C2166C}"/>
  </bookViews>
  <sheets>
    <sheet name="data" sheetId="2" state="hidden" r:id="rId1"/>
    <sheet name="Customers" sheetId="3" r:id="rId2"/>
    <sheet name="Orders" sheetId="4" r:id="rId3"/>
    <sheet name="Products" sheetId="5" r:id="rId4"/>
    <sheet name="EDA" sheetId="1" r:id="rId5"/>
    <sheet name="Dashboard" sheetId="6" r:id="rId6"/>
  </sheets>
  <definedNames>
    <definedName name="ExternalData_1" localSheetId="0" hidden="1">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1">#N/A</definedName>
    <definedName name="Timeline_Delivery_Date">#N/A</definedName>
    <definedName name="Timeline_Order_Date">#N/A</definedName>
  </definedNames>
  <calcPr calcId="191029"/>
  <pivotCaches>
    <pivotCache cacheId="2372" r:id="rId7"/>
    <pivotCache cacheId="2375" r:id="rId8"/>
    <pivotCache cacheId="2378" r:id="rId9"/>
    <pivotCache cacheId="2381" r:id="rId10"/>
    <pivotCache cacheId="2384" r:id="rId11"/>
    <pivotCache cacheId="2387" r:id="rId12"/>
    <pivotCache cacheId="2390" r:id="rId13"/>
    <pivotCache cacheId="2393" r:id="rId14"/>
    <pivotCache cacheId="2396" r:id="rId15"/>
    <pivotCache cacheId="2399" r:id="rId16"/>
    <pivotCache cacheId="2402" r:id="rId17"/>
  </pivotCaches>
  <extLst>
    <ext xmlns:x14="http://schemas.microsoft.com/office/spreadsheetml/2009/9/main" uri="{876F7934-8845-4945-9796-88D515C7AA90}">
      <x14:pivotCaches>
        <pivotCache cacheId="56"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4"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8a36afc1-3d3a-4af7-8678-8f55dc41834a" name="data" connection="Query - data"/>
          <x15:modelTable id="Customers_a5501fbe-164e-40f2-a5cb-57480a3abcd8" name="Customers" connection="Query - Customers"/>
          <x15:modelTable id="Orders_8a48c7d7-fba7-4e3e-8088-9cc42db91f76" name="Orders" connection="Query - Orders"/>
          <x15:modelTable id="Products_ada606d0-9b1c-4a91-bab4-ea6319f69b04"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FA8D1A-0E5C-436D-A69E-A8E9FF57CFE3}"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FD5D259A-C51A-4C4C-BD1D-7CE9B4F5DE7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AEE98BE-2AF5-4223-BAEC-5F821B5A3D9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791A5D7-14A9-4759-8C03-6B3E076517A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20402FDD-03FC-45C0-A6B5-EC1BE2A8BD02}" name="Query - Customers" description="Connection to the 'Customers' query in the workbook." type="100" refreshedVersion="8" minRefreshableVersion="5">
    <extLst>
      <ext xmlns:x15="http://schemas.microsoft.com/office/spreadsheetml/2010/11/main" uri="{DE250136-89BD-433C-8126-D09CA5730AF9}">
        <x15:connection id="d81737db-e4c9-4107-b542-fe62b07946eb"/>
      </ext>
    </extLst>
  </connection>
  <connection id="6" xr16:uid="{44986AA9-8659-4D4C-9C8E-42357016796A}" name="Query - data" description="Connection to the 'data' query in the workbook." type="100" refreshedVersion="8" minRefreshableVersion="5">
    <extLst>
      <ext xmlns:x15="http://schemas.microsoft.com/office/spreadsheetml/2010/11/main" uri="{DE250136-89BD-433C-8126-D09CA5730AF9}">
        <x15:connection id="0451daf2-98c8-4bf3-bc48-871f666f1155"/>
      </ext>
    </extLst>
  </connection>
  <connection id="7" xr16:uid="{DD4EB95B-C11D-4131-916E-112E6B4CFBE7}" name="Query - Orders" description="Connection to the 'Orders' query in the workbook." type="100" refreshedVersion="8" minRefreshableVersion="5">
    <extLst>
      <ext xmlns:x15="http://schemas.microsoft.com/office/spreadsheetml/2010/11/main" uri="{DE250136-89BD-433C-8126-D09CA5730AF9}">
        <x15:connection id="f0749f9c-2dd9-458f-af07-b5cd7ebc928b"/>
      </ext>
    </extLst>
  </connection>
  <connection id="8" xr16:uid="{119B1548-B3B2-4011-AE49-56723C4CAF3B}" name="Query - Products" description="Connection to the 'Products' query in the workbook." type="100" refreshedVersion="8" minRefreshableVersion="5">
    <extLst>
      <ext xmlns:x15="http://schemas.microsoft.com/office/spreadsheetml/2010/11/main" uri="{DE250136-89BD-433C-8126-D09CA5730AF9}">
        <x15:connection id="9f1079cc-8d98-4e2f-ac4f-704dfc212adf"/>
      </ext>
    </extLst>
  </connection>
  <connection id="9" xr16:uid="{79E79F7C-DC41-41C3-AF75-EC97A5EAF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<sst xmlns="http://schemas.openxmlformats.org/spreadsheetml/2006/main" count="6054" uniqueCount="959">
  <si>
    <t>Name</t>
  </si>
  <si>
    <t>Extension</t>
  </si>
  <si>
    <t>Date accessed</t>
  </si>
  <si>
    <t>Date modified</t>
  </si>
  <si>
    <t>Date created</t>
  </si>
  <si>
    <t>Folder Path</t>
  </si>
  <si>
    <t>customers.csv</t>
  </si>
  <si>
    <t>.csv</t>
  </si>
  <si>
    <t>C:\DA Projects\Excel_FNP_Project\data\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</si>
  <si>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</si>
  <si>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</si>
  <si>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</si>
  <si>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</si>
  <si>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</si>
  <si>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</si>
  <si>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</si>
  <si>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</si>
  <si>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</si>
  <si>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</si>
  <si>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</si>
  <si>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</si>
  <si>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</si>
  <si>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</si>
  <si>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</si>
  <si>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</si>
  <si>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</si>
  <si>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</si>
  <si>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</si>
  <si>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</si>
  <si>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</si>
  <si>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</si>
  <si>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</si>
  <si>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</si>
  <si>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</si>
  <si>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</si>
  <si>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</si>
  <si>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</si>
  <si>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</si>
  <si>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</si>
  <si>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</si>
  <si>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</si>
  <si>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</si>
  <si>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</si>
  <si>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</si>
  <si>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</si>
  <si>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</si>
  <si>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</si>
  <si>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</si>
  <si>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</si>
  <si>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</si>
  <si>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</si>
  <si>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</si>
  <si>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</si>
  <si>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</si>
  <si>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</si>
  <si>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</si>
  <si>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</si>
  <si>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</si>
  <si>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</si>
  <si>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</si>
  <si>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</si>
  <si>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</si>
  <si>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</si>
  <si>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</si>
  <si>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</si>
  <si>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</si>
  <si>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</si>
  <si>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</si>
  <si>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</si>
  <si>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</si>
  <si>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</si>
  <si>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</si>
  <si>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</si>
  <si>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</si>
  <si>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</si>
  <si>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</si>
  <si>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</si>
  <si>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</si>
  <si>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</si>
  <si>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</si>
  <si>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</si>
  <si>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</si>
  <si>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</si>
  <si>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</si>
  <si>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</si>
  <si>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</si>
  <si>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</si>
  <si>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</si>
  <si>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</si>
  <si>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</si>
  <si>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</si>
  <si>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</si>
  <si>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</si>
  <si>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</si>
  <si>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</si>
  <si>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</si>
  <si>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</si>
  <si>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</si>
  <si>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</si>
  <si>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</si>
  <si>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</si>
  <si>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</si>
  <si>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</si>
  <si>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</si>
  <si>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</si>
  <si>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</si>
  <si>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</si>
  <si>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</si>
  <si>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</si>
  <si>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</si>
  <si>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</si>
  <si>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</si>
  <si>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</si>
  <si>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</si>
  <si>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</si>
  <si>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</si>
  <si>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</si>
  <si>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</si>
  <si>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</si>
  <si>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</si>
  <si>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</si>
  <si>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</si>
  <si>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</si>
  <si>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</si>
  <si>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</si>
  <si>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</si>
  <si>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</si>
  <si>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</si>
  <si>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</si>
  <si>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</si>
  <si>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</si>
  <si>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</si>
  <si>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</si>
  <si>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</si>
  <si>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</si>
  <si>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</si>
  <si>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</si>
  <si>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</si>
  <si>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</si>
  <si>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</si>
  <si>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</si>
  <si>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</si>
  <si>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</si>
  <si>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</si>
  <si>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</si>
  <si>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</si>
  <si>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</si>
  <si>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</si>
  <si>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</si>
  <si>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</si>
  <si>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</si>
  <si>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</si>
  <si>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</si>
  <si>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</si>
  <si>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</si>
  <si>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</si>
  <si>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</si>
  <si>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</si>
  <si>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</si>
  <si>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</si>
  <si>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</si>
  <si>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</si>
  <si>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</si>
  <si>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</si>
  <si>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</si>
  <si>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</si>
  <si>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</si>
  <si>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</si>
  <si>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</si>
  <si>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</si>
  <si>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</si>
  <si>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</si>
  <si>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</si>
  <si>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</si>
  <si>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</si>
  <si>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</si>
  <si>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</si>
  <si>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</si>
  <si>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</si>
  <si>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</si>
  <si>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</si>
  <si>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</si>
  <si>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</si>
  <si>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</si>
  <si>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</si>
  <si>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</si>
  <si>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</si>
  <si>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</si>
  <si>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</si>
  <si>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</si>
  <si>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</si>
  <si>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</si>
  <si>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</si>
  <si>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</si>
  <si>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</si>
  <si>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</si>
  <si>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</si>
  <si>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</si>
  <si>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</si>
  <si>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</si>
  <si>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</si>
  <si>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</si>
  <si>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</si>
  <si>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</si>
  <si>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</si>
  <si>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</si>
  <si>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</si>
  <si>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</si>
  <si>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</si>
  <si>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</si>
  <si>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</si>
  <si>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</si>
  <si>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</si>
  <si>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</si>
  <si>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</si>
  <si>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</si>
  <si>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</si>
  <si>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</si>
  <si>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</si>
  <si>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</si>
  <si>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</si>
  <si>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</si>
  <si>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</si>
  <si>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</si>
  <si>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</si>
  <si>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</si>
  <si>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</si>
  <si>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</si>
  <si>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</si>
  <si>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</si>
  <si>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</si>
  <si>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</si>
  <si>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</si>
  <si>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</si>
  <si>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</si>
  <si>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</si>
  <si>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</si>
  <si>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</si>
  <si>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</si>
  <si>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</si>
  <si>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</si>
  <si>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</si>
  <si>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</si>
  <si>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</si>
  <si>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</si>
  <si>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</si>
  <si>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</si>
  <si>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</si>
  <si>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</si>
  <si>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</si>
  <si>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</si>
  <si>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</si>
  <si>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</si>
  <si>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</si>
  <si>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</si>
  <si>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</si>
  <si>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</si>
  <si>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</si>
  <si>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</si>
  <si>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</si>
  <si>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</si>
  <si>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</si>
  <si>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</si>
  <si>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</si>
  <si>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</si>
  <si>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</si>
  <si>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</si>
  <si>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</si>
  <si>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</si>
  <si>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</si>
  <si>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</si>
  <si>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</si>
  <si>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</si>
  <si>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</si>
  <si>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</si>
  <si>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</si>
  <si>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</si>
  <si>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</si>
  <si>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</si>
  <si>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</si>
  <si>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</si>
  <si>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</si>
  <si>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</si>
  <si>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</si>
  <si>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</si>
  <si>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</si>
  <si>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</si>
  <si>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</si>
  <si>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</si>
  <si>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</si>
  <si>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</si>
  <si>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</si>
  <si>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</si>
  <si>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</si>
  <si>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</si>
  <si>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</si>
  <si>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</si>
  <si>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</si>
  <si>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</si>
  <si>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</si>
  <si>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</si>
  <si>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</si>
  <si>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</si>
  <si>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</si>
  <si>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</si>
  <si>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</si>
  <si>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</si>
  <si>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</si>
  <si>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</si>
  <si>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</si>
  <si>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</si>
  <si>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</si>
  <si>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</si>
  <si>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</si>
  <si>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</si>
  <si>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</si>
  <si>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</si>
  <si>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</si>
  <si>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</si>
  <si>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</si>
  <si>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</si>
  <si>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</si>
  <si>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</si>
  <si>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</si>
  <si>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</si>
  <si>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</si>
  <si>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</si>
  <si>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</si>
  <si>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</si>
  <si>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</si>
  <si>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</si>
  <si>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</si>
  <si>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</si>
  <si>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</si>
  <si>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</si>
  <si>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</si>
  <si>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</si>
  <si>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</si>
  <si>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</si>
  <si>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</si>
  <si>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</si>
  <si>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</si>
  <si>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</si>
  <si>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</si>
  <si>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</si>
  <si>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</si>
  <si>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</si>
  <si>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</si>
  <si>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</si>
  <si>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</si>
  <si>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</si>
  <si>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</si>
  <si>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</si>
  <si>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</si>
  <si>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</si>
  <si>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</si>
  <si>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</si>
  <si>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</si>
  <si>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</si>
  <si>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</si>
  <si>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</si>
  <si>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</si>
  <si>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</si>
  <si>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</si>
  <si>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</si>
  <si>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</si>
  <si>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</si>
  <si>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</si>
  <si>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</si>
  <si>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</si>
  <si>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</si>
  <si>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</si>
  <si>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</si>
  <si>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</si>
  <si>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</si>
  <si>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</si>
  <si>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</si>
  <si>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</si>
  <si>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</si>
  <si>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</si>
  <si>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</si>
  <si>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</si>
  <si>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</si>
  <si>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</si>
  <si>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</si>
  <si>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</si>
  <si>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</si>
  <si>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</si>
  <si>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</si>
  <si>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</si>
  <si>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</si>
  <si>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</si>
  <si>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</si>
  <si>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</si>
  <si>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</si>
  <si>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</si>
  <si>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</si>
  <si>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</si>
  <si>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</si>
  <si>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</si>
  <si>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</si>
  <si>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</si>
  <si>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</si>
  <si>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</si>
  <si>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</si>
  <si>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</si>
  <si>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</si>
  <si>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</si>
  <si>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</si>
  <si>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</si>
  <si>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</si>
  <si>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</si>
  <si>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</si>
  <si>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</si>
  <si>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</si>
  <si>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</si>
  <si>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</si>
  <si>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</si>
  <si>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</si>
  <si>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</si>
  <si>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</si>
  <si>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</si>
  <si>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</si>
  <si>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</si>
  <si>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</si>
  <si>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</si>
  <si>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</si>
  <si>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</si>
  <si>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</si>
  <si>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</si>
  <si>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</si>
  <si>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</si>
  <si>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</si>
  <si>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</si>
  <si>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</si>
  <si>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</si>
  <si>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</si>
  <si>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</si>
  <si>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</si>
  <si>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</si>
  <si>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</si>
  <si>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</si>
  <si>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</si>
  <si>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</si>
  <si>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</si>
  <si>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</si>
  <si>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</si>
  <si>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</si>
  <si>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</si>
  <si>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</si>
  <si>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</si>
  <si>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</si>
  <si>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</si>
  <si>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</si>
  <si>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</si>
  <si>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</si>
  <si>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</si>
  <si>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</si>
  <si>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</si>
  <si>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</si>
  <si>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</si>
  <si>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</si>
  <si>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</si>
  <si>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</si>
  <si>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</si>
  <si>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</si>
  <si>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</si>
  <si>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</si>
  <si>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</si>
  <si>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</si>
  <si>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</si>
  <si>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</si>
  <si>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</si>
  <si>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</si>
  <si>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</si>
  <si>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</si>
  <si>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</si>
  <si>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</si>
  <si>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</si>
  <si>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</si>
  <si>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</si>
  <si>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</si>
  <si>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</si>
  <si>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</si>
  <si>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</si>
  <si>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</si>
  <si>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</si>
  <si>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</si>
  <si>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</si>
  <si>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</si>
  <si>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</si>
  <si>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</si>
  <si>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</si>
  <si>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</si>
  <si>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</si>
  <si>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</si>
  <si>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</si>
  <si>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</si>
  <si>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</si>
  <si>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</si>
  <si>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</si>
  <si>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</si>
  <si>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</si>
  <si>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</si>
  <si>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</si>
  <si>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</si>
  <si>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</si>
  <si>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</si>
  <si>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</si>
  <si>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</si>
  <si>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</si>
  <si>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</si>
  <si>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</si>
  <si>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</si>
  <si>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</si>
  <si>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</si>
  <si>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</si>
  <si>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</si>
  <si>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</si>
  <si>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</si>
  <si>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</si>
  <si>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</si>
  <si>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</si>
  <si>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</si>
  <si>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</si>
  <si>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</si>
  <si>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</si>
  <si>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</si>
  <si>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</si>
  <si>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</si>
  <si>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</si>
  <si>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</si>
  <si>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</si>
  <si>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</si>
  <si>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</si>
  <si>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</si>
  <si>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</si>
  <si>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</si>
  <si>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</si>
  <si>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</si>
  <si>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</si>
  <si>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</si>
  <si>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</si>
  <si>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</si>
  <si>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</si>
  <si>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</si>
  <si>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</si>
  <si>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</si>
  <si>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</si>
  <si>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</si>
  <si>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</si>
  <si>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</si>
  <si>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</si>
  <si>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</si>
  <si>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</si>
  <si>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</si>
  <si>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</si>
  <si>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</si>
  <si>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</si>
  <si>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</si>
  <si>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</si>
  <si>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</si>
  <si>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</si>
  <si>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</si>
  <si>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</si>
  <si>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</si>
  <si>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</si>
  <si>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</si>
  <si>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</si>
  <si>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</si>
  <si>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</si>
  <si>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</si>
  <si>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</si>
  <si>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</si>
  <si>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</si>
  <si>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</si>
  <si>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</si>
  <si>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</si>
  <si>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</si>
  <si>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</si>
  <si>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</si>
  <si>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</si>
  <si>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</si>
  <si>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</si>
  <si>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</si>
  <si>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</si>
  <si>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</si>
  <si>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</si>
  <si>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</si>
  <si>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</si>
  <si>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</si>
  <si>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</si>
  <si>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</si>
  <si>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</si>
  <si>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</si>
  <si>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</si>
  <si>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</si>
  <si>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</si>
  <si>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</si>
  <si>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</si>
  <si>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</si>
  <si>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</si>
  <si>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</si>
  <si>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</si>
  <si>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</si>
  <si>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</si>
  <si>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</si>
  <si>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</si>
  <si>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</si>
  <si>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</si>
  <si>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</si>
  <si>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</si>
  <si>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</si>
  <si>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</si>
  <si>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</si>
  <si>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</si>
  <si>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</si>
  <si>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</si>
  <si>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</si>
  <si>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</si>
  <si>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</si>
  <si>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</si>
  <si>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</si>
  <si>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</si>
  <si>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</si>
  <si>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</si>
  <si>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</si>
  <si>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</si>
  <si>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</si>
  <si>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</si>
  <si>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</si>
  <si>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</si>
  <si>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</si>
  <si>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</si>
  <si>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</si>
  <si>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</si>
  <si>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</si>
  <si>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</si>
  <si>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</si>
  <si>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</si>
  <si>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</si>
  <si>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</si>
  <si>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</si>
  <si>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</si>
  <si>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</si>
  <si>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</si>
  <si>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</si>
  <si>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</si>
  <si>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</si>
  <si>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</si>
  <si>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</si>
  <si>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</si>
  <si>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</si>
  <si>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</si>
  <si>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</si>
  <si>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</si>
  <si>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</si>
  <si>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</si>
  <si>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</si>
  <si>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</si>
  <si>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</si>
  <si>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</si>
  <si>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</si>
  <si>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</si>
  <si>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</si>
  <si>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</si>
  <si>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</si>
  <si>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</si>
  <si>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</si>
  <si>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</si>
  <si>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</si>
  <si>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</si>
  <si>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</si>
  <si>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</si>
  <si>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</si>
  <si>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</si>
  <si>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</si>
  <si>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</si>
  <si>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</si>
  <si>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</si>
  <si>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</si>
  <si>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</si>
  <si>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</si>
  <si>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</si>
  <si>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</si>
  <si>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</si>
  <si>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</si>
  <si>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</si>
  <si>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</si>
  <si>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</si>
  <si>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</si>
  <si>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</si>
  <si>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</si>
  <si>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</si>
  <si>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</si>
  <si>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</si>
  <si>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</si>
  <si>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</si>
  <si>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</si>
  <si>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</si>
  <si>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</si>
  <si>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</si>
  <si>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</si>
  <si>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</si>
  <si>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</si>
  <si>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</si>
  <si>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</si>
  <si>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</si>
  <si>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</si>
  <si>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</si>
  <si>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</si>
  <si>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</si>
  <si>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</si>
  <si>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</si>
  <si>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</si>
  <si>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</si>
  <si>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</si>
  <si>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</si>
  <si>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</si>
  <si>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</si>
  <si>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</si>
  <si>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</si>
  <si>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</si>
  <si>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</si>
  <si>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</si>
  <si>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</si>
  <si>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</si>
  <si>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</si>
  <si>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</si>
  <si>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</si>
  <si>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</si>
  <si>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</si>
  <si>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</si>
  <si>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</si>
  <si>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</si>
  <si>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</si>
  <si>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</si>
  <si>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</si>
  <si>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</si>
  <si>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</si>
  <si>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</si>
  <si>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</si>
  <si>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</si>
  <si>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</si>
  <si>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</si>
  <si>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</si>
  <si>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</si>
  <si>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</si>
  <si>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</si>
  <si>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</si>
  <si>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</si>
  <si>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</si>
  <si>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</si>
  <si>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</si>
  <si>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</si>
  <si>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</si>
  <si>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</si>
  <si>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</si>
  <si>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</si>
  <si>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</si>
  <si>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</si>
  <si>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</si>
  <si>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</si>
  <si>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</si>
  <si>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</si>
  <si>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</si>
  <si>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</si>
  <si>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</si>
  <si>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</si>
  <si>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</si>
  <si>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</si>
  <si>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</si>
  <si>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</si>
  <si>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</si>
  <si>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</si>
  <si>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</si>
  <si>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</si>
  <si>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</si>
  <si>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</si>
  <si>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</si>
  <si>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</si>
  <si>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</si>
  <si>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</si>
  <si>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</si>
  <si>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</si>
  <si>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</si>
  <si>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</si>
  <si>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</si>
  <si>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</si>
  <si>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</si>
  <si>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</si>
  <si>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</si>
  <si>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</si>
  <si>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</si>
  <si>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</si>
  <si>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</si>
  <si>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</si>
  <si>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</si>
  <si>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</si>
  <si>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</si>
  <si>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</si>
  <si>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</si>
  <si>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</si>
  <si>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</si>
  <si>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</si>
  <si>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</si>
  <si>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</si>
  <si>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</si>
  <si>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</si>
  <si>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</si>
  <si>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</si>
  <si>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</si>
  <si>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</si>
  <si>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</si>
  <si>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</si>
  <si>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</si>
  <si>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</si>
  <si>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</si>
  <si>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</si>
  <si>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</si>
  <si>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</si>
  <si>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</si>
  <si>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</si>
  <si>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</si>
  <si>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</si>
  <si>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</si>
  <si>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</si>
  <si>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</si>
  <si>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</si>
  <si>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</si>
  <si>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</si>
  <si>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</si>
  <si>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</si>
  <si>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</si>
  <si>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</si>
  <si>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</si>
  <si>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</si>
  <si>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</si>
  <si>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</si>
  <si>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</si>
  <si>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</si>
  <si>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</si>
  <si>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</si>
  <si>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</si>
  <si>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</si>
  <si>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</si>
  <si>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</si>
  <si>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</si>
  <si>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</si>
  <si>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</si>
  <si>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</si>
  <si>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</si>
  <si>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</si>
  <si>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</si>
  <si>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</si>
  <si>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</si>
  <si>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</si>
  <si>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</si>
  <si>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</si>
  <si>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</si>
  <si>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</si>
  <si>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</si>
  <si>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</si>
  <si>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</si>
  <si>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</si>
  <si>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</si>
  <si>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</si>
  <si>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</si>
  <si>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</si>
  <si>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</si>
  <si>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</si>
  <si>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</si>
  <si>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</si>
  <si>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</si>
  <si>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</si>
  <si>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</si>
  <si>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</si>
  <si>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</si>
  <si>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</si>
  <si>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</si>
  <si>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</si>
  <si>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</si>
  <si>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</si>
  <si>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</si>
  <si>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</si>
  <si>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</si>
  <si>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</si>
  <si>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</si>
  <si>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</si>
  <si>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</si>
  <si>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</si>
  <si>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</si>
  <si>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</si>
  <si>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</si>
  <si>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</si>
  <si>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</si>
  <si>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</si>
  <si>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</si>
  <si>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</si>
  <si>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</si>
  <si>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</si>
  <si>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</si>
  <si>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</si>
  <si>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</si>
  <si>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</si>
  <si>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</si>
  <si>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</si>
  <si>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</si>
  <si>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</si>
  <si>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</si>
  <si>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</si>
  <si>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</si>
  <si>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</si>
  <si>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</si>
  <si>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</si>
  <si>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</si>
  <si>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</si>
  <si>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</si>
  <si>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</si>
  <si>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</si>
  <si>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</si>
  <si>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</si>
  <si>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</si>
  <si>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</si>
  <si>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</si>
  <si>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</si>
  <si>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</si>
  <si>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</si>
  <si>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</si>
  <si>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</si>
  <si>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</si>
  <si>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</si>
  <si>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</si>
  <si>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</si>
  <si>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</si>
  <si>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</si>
  <si>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</si>
  <si>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</si>
  <si>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</si>
  <si>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</si>
  <si>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</si>
  <si>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</si>
  <si>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</si>
  <si>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</si>
  <si>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Total Revenue</t>
  </si>
  <si>
    <t>Average Order and Delivery Time</t>
  </si>
  <si>
    <t>Average of diff_order_delivery</t>
  </si>
  <si>
    <t>Monthly Sales Performance</t>
  </si>
  <si>
    <t>Top Products by Revenue</t>
  </si>
  <si>
    <t>Customer Spending Analysis</t>
  </si>
  <si>
    <t>Average of Revenue(Cx Spending)</t>
  </si>
  <si>
    <t>Top Revenue Category</t>
  </si>
  <si>
    <t>Top 10 Cities by Number of Orders</t>
  </si>
  <si>
    <t>Count of Order_ID</t>
  </si>
  <si>
    <t>Order Quantity vs Delivery Time</t>
  </si>
  <si>
    <t>Revenue Comparison b/w Occasions</t>
  </si>
  <si>
    <t>Product Popularity by Occasions</t>
  </si>
  <si>
    <t>Days by Delivery</t>
  </si>
  <si>
    <t>Order Time by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</si>
</sst>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b/>
      <sz val="11"/>
      <color theme="1"/>
      <name val="Calibri Light"/>
      <family val="2"/>
      <scheme val="major"/>
    </font>
  </fonts>
  <fills count="4">
    <fill>
      <patternFill patternType="none"/>
    </fill>
    <fill>
      <patternFill patternType="gray125"/>
    </fill>
    <fill>
      <patternFill patternType="solid">
        <fgColor theme="8" tint="0.59999389629810485"/>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166" fontId="0" fillId="0" borderId="0" xfId="0" applyNumberFormat="1"/>
    <xf numFmtId="0" fontId="0" fillId="2" borderId="0" xfId="0" applyFill="1" applyAlignment="1">
      <alignment horizontal="center"/>
    </xf>
    <xf numFmtId="0" fontId="0" fillId="0" borderId="0" xfId="0" applyNumberFormat="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EDA!$AB$2</c:f>
              <c:strCache>
                <c:ptCount val="1"/>
                <c:pt idx="0">
                  <c:v>Total</c:v>
                </c:pt>
              </c:strCache>
            </c:strRef>
          </c:tx>
          <c:spPr>
            <a:solidFill>
              <a:schemeClr val="accent1"/>
            </a:solidFill>
            <a:ln>
              <a:noFill/>
            </a:ln>
            <a:effectLst/>
          </c:spPr>
          <c:invertIfNegative val="0"/>
          <c:cat>
            <c:strRef>
              <c:f>EDA!$AA$3:$AA$10</c:f>
              <c:strCache>
                <c:ptCount val="7"/>
                <c:pt idx="0">
                  <c:v>All Occasions</c:v>
                </c:pt>
                <c:pt idx="1">
                  <c:v>Anniversary</c:v>
                </c:pt>
                <c:pt idx="2">
                  <c:v>Birthday</c:v>
                </c:pt>
                <c:pt idx="3">
                  <c:v>Diwali</c:v>
                </c:pt>
                <c:pt idx="4">
                  <c:v>Holi</c:v>
                </c:pt>
                <c:pt idx="5">
                  <c:v>Raksha Bandhan</c:v>
                </c:pt>
                <c:pt idx="6">
                  <c:v>Valentine's Day</c:v>
                </c:pt>
              </c:strCache>
            </c:strRef>
          </c:cat>
          <c:val>
            <c:numRef>
              <c:f>EDA!$AB$3:$AB$10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BF56-40EA-A127-BF258EC81F2E}"/>
            </c:ext>
          </c:extLst>
        </c:ser>
        <c:dLbls>
          <c:showLegendKey val="0"/>
          <c:showVal val="0"/>
          <c:showCatName val="0"/>
          <c:showSerName val="0"/>
          <c:showPercent val="0"/>
          <c:showBubbleSize val="0"/>
        </c:dLbls>
        <c:gapWidth val="219"/>
        <c:overlap val="-27"/>
        <c:axId val="858350719"/>
        <c:axId val="858355039"/>
      </c:barChart>
      <c:catAx>
        <c:axId val="85835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55039"/>
        <c:crosses val="autoZero"/>
        <c:auto val="1"/>
        <c:lblAlgn val="ctr"/>
        <c:lblOffset val="100"/>
        <c:noMultiLvlLbl val="0"/>
      </c:catAx>
      <c:valAx>
        <c:axId val="858355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5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EDA!$S$2</c:f>
              <c:strCache>
                <c:ptCount val="1"/>
                <c:pt idx="0">
                  <c:v>Total</c:v>
                </c:pt>
              </c:strCache>
            </c:strRef>
          </c:tx>
          <c:spPr>
            <a:solidFill>
              <a:schemeClr val="accent1"/>
            </a:solidFill>
            <a:ln>
              <a:noFill/>
            </a:ln>
            <a:effectLst/>
          </c:spPr>
          <c:invertIfNegative val="0"/>
          <c:cat>
            <c:strRef>
              <c:f>EDA!$R$3:$R$8</c:f>
              <c:strCache>
                <c:ptCount val="5"/>
                <c:pt idx="0">
                  <c:v>Colors</c:v>
                </c:pt>
                <c:pt idx="1">
                  <c:v>Mugs</c:v>
                </c:pt>
                <c:pt idx="2">
                  <c:v>Raksha Bandhan</c:v>
                </c:pt>
                <c:pt idx="3">
                  <c:v>Soft Toys</c:v>
                </c:pt>
                <c:pt idx="4">
                  <c:v>Sweets</c:v>
                </c:pt>
              </c:strCache>
            </c:strRef>
          </c:cat>
          <c:val>
            <c:numRef>
              <c:f>EDA!$S$3:$S$8</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1-8640-49F0-872D-6C7B1F0875E5}"/>
            </c:ext>
          </c:extLst>
        </c:ser>
        <c:dLbls>
          <c:showLegendKey val="0"/>
          <c:showVal val="0"/>
          <c:showCatName val="0"/>
          <c:showSerName val="0"/>
          <c:showPercent val="0"/>
          <c:showBubbleSize val="0"/>
        </c:dLbls>
        <c:gapWidth val="219"/>
        <c:overlap val="-27"/>
        <c:axId val="969930111"/>
        <c:axId val="969945951"/>
      </c:barChart>
      <c:catAx>
        <c:axId val="96993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45951"/>
        <c:crosses val="autoZero"/>
        <c:auto val="1"/>
        <c:lblAlgn val="ctr"/>
        <c:lblOffset val="100"/>
        <c:noMultiLvlLbl val="0"/>
      </c:catAx>
      <c:valAx>
        <c:axId val="969945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3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EDA!$I$2</c:f>
              <c:strCache>
                <c:ptCount val="1"/>
                <c:pt idx="0">
                  <c:v>Total</c:v>
                </c:pt>
              </c:strCache>
            </c:strRef>
          </c:tx>
          <c:spPr>
            <a:ln w="28575" cap="rnd">
              <a:solidFill>
                <a:schemeClr val="accent1"/>
              </a:solidFill>
              <a:round/>
            </a:ln>
            <a:effectLst/>
          </c:spPr>
          <c:marker>
            <c:symbol val="none"/>
          </c:marker>
          <c:cat>
            <c:strRef>
              <c:f>EDA!$H$3:$H$15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EDA!$I$3:$I$15</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F392-4FC0-9A91-938B32FEC985}"/>
            </c:ext>
          </c:extLst>
        </c:ser>
        <c:dLbls>
          <c:showLegendKey val="0"/>
          <c:showVal val="0"/>
          <c:showCatName val="0"/>
          <c:showSerName val="0"/>
          <c:showPercent val="0"/>
          <c:showBubbleSize val="0"/>
        </c:dLbls>
        <c:smooth val="0"/>
        <c:axId val="903111263"/>
        <c:axId val="903117983"/>
      </c:lineChart>
      <c:catAx>
        <c:axId val="90311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17983"/>
        <c:crosses val="autoZero"/>
        <c:auto val="1"/>
        <c:lblAlgn val="ctr"/>
        <c:lblOffset val="100"/>
        <c:noMultiLvlLbl val="0"/>
      </c:catAx>
      <c:valAx>
        <c:axId val="903117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1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EDA!$L$2</c:f>
              <c:strCache>
                <c:ptCount val="1"/>
                <c:pt idx="0">
                  <c:v>Total</c:v>
                </c:pt>
              </c:strCache>
            </c:strRef>
          </c:tx>
          <c:spPr>
            <a:solidFill>
              <a:schemeClr val="accent1"/>
            </a:solidFill>
            <a:ln>
              <a:noFill/>
            </a:ln>
            <a:effectLst/>
          </c:spPr>
          <c:invertIfNegative val="0"/>
          <c:cat>
            <c:strRef>
              <c:f>EDA!$K$3:$K$8</c:f>
              <c:strCache>
                <c:ptCount val="5"/>
                <c:pt idx="0">
                  <c:v>Exercitationem Pack</c:v>
                </c:pt>
                <c:pt idx="1">
                  <c:v>Expedita Gift</c:v>
                </c:pt>
                <c:pt idx="2">
                  <c:v>Fugit Set</c:v>
                </c:pt>
                <c:pt idx="3">
                  <c:v>Magnam Set</c:v>
                </c:pt>
                <c:pt idx="4">
                  <c:v>Nihil Box</c:v>
                </c:pt>
              </c:strCache>
            </c:strRef>
          </c:cat>
          <c:val>
            <c:numRef>
              <c:f>EDA!$L$3:$L$8</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1-C952-4DC6-945F-46EEC4EE0C49}"/>
            </c:ext>
          </c:extLst>
        </c:ser>
        <c:dLbls>
          <c:showLegendKey val="0"/>
          <c:showVal val="0"/>
          <c:showCatName val="0"/>
          <c:showSerName val="0"/>
          <c:showPercent val="0"/>
          <c:showBubbleSize val="0"/>
        </c:dLbls>
        <c:gapWidth val="219"/>
        <c:overlap val="-27"/>
        <c:axId val="858372319"/>
        <c:axId val="858373279"/>
      </c:barChart>
      <c:catAx>
        <c:axId val="85837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73279"/>
        <c:crosses val="autoZero"/>
        <c:auto val="1"/>
        <c:lblAlgn val="ctr"/>
        <c:lblOffset val="100"/>
        <c:noMultiLvlLbl val="0"/>
      </c:catAx>
      <c:valAx>
        <c:axId val="858373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7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EDA!$V$2</c:f>
              <c:strCache>
                <c:ptCount val="1"/>
                <c:pt idx="0">
                  <c:v>Total</c:v>
                </c:pt>
              </c:strCache>
            </c:strRef>
          </c:tx>
          <c:spPr>
            <a:solidFill>
              <a:schemeClr val="accent1"/>
            </a:solidFill>
            <a:ln>
              <a:noFill/>
            </a:ln>
            <a:effectLst/>
          </c:spPr>
          <c:invertIfNegative val="0"/>
          <c:cat>
            <c:strRef>
              <c:f>EDA!$U$3:$U$13</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EDA!$V$3:$V$13</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1-1999-438D-B06F-8FC85858D6F5}"/>
            </c:ext>
          </c:extLst>
        </c:ser>
        <c:dLbls>
          <c:showLegendKey val="0"/>
          <c:showVal val="0"/>
          <c:showCatName val="0"/>
          <c:showSerName val="0"/>
          <c:showPercent val="0"/>
          <c:showBubbleSize val="0"/>
        </c:dLbls>
        <c:gapWidth val="219"/>
        <c:overlap val="-27"/>
        <c:axId val="903119423"/>
        <c:axId val="969928671"/>
      </c:barChart>
      <c:catAx>
        <c:axId val="90311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28671"/>
        <c:crosses val="autoZero"/>
        <c:auto val="1"/>
        <c:lblAlgn val="ctr"/>
        <c:lblOffset val="100"/>
        <c:noMultiLvlLbl val="0"/>
      </c:catAx>
      <c:valAx>
        <c:axId val="96992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1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[FNP_Workbook.xlsx]EDA!PivotTable12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EDA!$AE$14</c:f>
              <c:strCache>
                <c:ptCount val="1"/>
                <c:pt idx="0">
                  <c:v>Total</c:v>
                </c:pt>
              </c:strCache>
            </c:strRef>
          </c:tx>
          <c:spPr>
            <a:ln w="28575" cap="rnd">
              <a:solidFill>
                <a:schemeClr val="accent1"/>
              </a:solidFill>
              <a:round/>
            </a:ln>
            <a:effectLst/>
          </c:spPr>
          <c:marker>
            <c:symbol val="none"/>
          </c:marker>
          <c:cat>
            <c:strRef>
              <c:f>EDA!$AD$15:$AD$39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EDA!$AE$15:$AE$39</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1-9EE6-4DE9-84D9-BE5B9D02649E}"/>
            </c:ext>
          </c:extLst>
        </c:ser>
        <c:dLbls>
          <c:showLegendKey val="0"/>
          <c:showVal val="0"/>
          <c:showCatName val="0"/>
          <c:showSerName val="0"/>
          <c:showPercent val="0"/>
          <c:showBubbleSize val="0"/>
        </c:dLbls>
        <c:smooth val="0"/>
        <c:axId val="860430479"/>
        <c:axId val="858371359"/>
      </c:lineChart>
      <c:catAx>
        <c:axId val="8604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371359"/>
        <c:crosses val="autoZero"/>
        <c:auto val="1"/>
        <c:lblAlgn val="ctr"/>
        <c:lblOffset val="100"/>
        <c:tickLblSkip val="2"/>
        <c:tickMarkSkip val="2"/>
        <c:noMultiLvlLbl val="0"/>
      </c:catAx>
      <c:valAx>
        <c:axId val="858371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3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601981</xdr:colOff>
      <xdr:row>6</xdr:row>
      <xdr:rowOff>0</xdr:rowOff>
    </xdr:from>
    <xdr:to>
      <xdr:col>8</xdr:col>
      <xdr:colOff>1</xdr:colOff>
      <xdr:row>21</xdr:row>
      <xdr:rowOff>0</xdr:rowOff>
    </xdr:to>
    <xdr:graphicFrame macro="">
      <xdr:nvGraphicFramePr>
        <xdr:cNvPr id="2" name="Chart 1">
          <a:extLst>
            <a:ext uri="{FF2B5EF4-FFF2-40B4-BE49-F238E27FC236}">
              <a16:creationId xmlns:a16="http://schemas.microsoft.com/office/drawing/2014/main" id="{88B4384B-1974-4DAE-BE84-05C5E306B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223398</xdr:colOff>
      <xdr:row>6</xdr:row>
      <xdr:rowOff>0</xdr:rowOff>
    </xdr:from>
    <xdr:to>
      <xdr:col>15</xdr:col>
      <xdr:colOff>230029</xdr:colOff>
      <xdr:row>20</xdr:row>
      <xdr:rowOff>183078</xdr:rowOff>
    </xdr:to>
    <xdr:graphicFrame macro="">
      <xdr:nvGraphicFramePr>
        <xdr:cNvPr id="3" name="Chart 2">
          <a:extLst>
            <a:ext uri="{FF2B5EF4-FFF2-40B4-BE49-F238E27FC236}">
              <a16:creationId xmlns:a16="http://schemas.microsoft.com/office/drawing/2014/main" id="{8736417E-D8E7-4D84-952B-30468CE9A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21</xdr:row>
      <xdr:rowOff>186265</xdr:rowOff>
    </xdr:from>
    <xdr:to>
      <xdr:col>8</xdr:col>
      <xdr:colOff>0</xdr:colOff>
      <xdr:row>36</xdr:row>
      <xdr:rowOff>186265</xdr:rowOff>
    </xdr:to>
    <xdr:graphicFrame macro="">
      <xdr:nvGraphicFramePr>
        <xdr:cNvPr id="4" name="Chart 3">
          <a:extLst>
            <a:ext uri="{FF2B5EF4-FFF2-40B4-BE49-F238E27FC236}">
              <a16:creationId xmlns:a16="http://schemas.microsoft.com/office/drawing/2014/main" id="{08DB16F6-1E6F-486B-84F1-7535179C3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223400</xdr:colOff>
      <xdr:row>22</xdr:row>
      <xdr:rowOff>4946</xdr:rowOff>
    </xdr:from>
    <xdr:to>
      <xdr:col>15</xdr:col>
      <xdr:colOff>225082</xdr:colOff>
      <xdr:row>37</xdr:row>
      <xdr:rowOff>4946</xdr:rowOff>
    </xdr:to>
    <xdr:graphicFrame macro="">
      <xdr:nvGraphicFramePr>
        <xdr:cNvPr id="5" name="Chart 4">
          <a:extLst>
            <a:ext uri="{FF2B5EF4-FFF2-40B4-BE49-F238E27FC236}">
              <a16:creationId xmlns:a16="http://schemas.microsoft.com/office/drawing/2014/main" id="{AA9EBAEA-7705-4150-BC7F-8E389194D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415716</xdr:colOff>
      <xdr:row>21</xdr:row>
      <xdr:rowOff>186265</xdr:rowOff>
    </xdr:from>
    <xdr:to>
      <xdr:col>22</xdr:col>
      <xdr:colOff>430077</xdr:colOff>
      <xdr:row>36</xdr:row>
      <xdr:rowOff>186265</xdr:rowOff>
    </xdr:to>
    <xdr:graphicFrame macro="">
      <xdr:nvGraphicFramePr>
        <xdr:cNvPr id="6" name="Chart 5">
          <a:extLst>
            <a:ext uri="{FF2B5EF4-FFF2-40B4-BE49-F238E27FC236}">
              <a16:creationId xmlns:a16="http://schemas.microsoft.com/office/drawing/2014/main" id="{12B7637D-BEE2-4A35-B138-9A0E17995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427019</xdr:colOff>
      <xdr:row>6</xdr:row>
      <xdr:rowOff>0</xdr:rowOff>
    </xdr:from>
    <xdr:to>
      <xdr:col>22</xdr:col>
      <xdr:colOff>430077</xdr:colOff>
      <xdr:row>21</xdr:row>
      <xdr:rowOff>0</xdr:rowOff>
    </xdr:to>
    <xdr:graphicFrame macro="">
      <xdr:nvGraphicFramePr>
        <xdr:cNvPr id="7" name="Chart 6">
          <a:extLst>
            <a:ext uri="{FF2B5EF4-FFF2-40B4-BE49-F238E27FC236}">
              <a16:creationId xmlns:a16="http://schemas.microsoft.com/office/drawing/2014/main" id="{F9EC379A-464A-46D8-8E7C-CBB9925E4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602512</xdr:colOff>
      <xdr:row>1</xdr:row>
      <xdr:rowOff>9646</xdr:rowOff>
    </xdr:from>
    <xdr:to>
      <xdr:col>5</xdr:col>
      <xdr:colOff>342570</xdr:colOff>
      <xdr:row>5</xdr:row>
      <xdr:rowOff>0</xdr:rowOff>
    </xdr:to>
    <xdr:sp macro="" textlink="">
      <xdr:nvSpPr>
        <xdr:cNvPr id="8" name="Rectangle: Rounded Corners 7">
          <a:extLst>
            <a:ext uri="{FF2B5EF4-FFF2-40B4-BE49-F238E27FC236}">
              <a16:creationId xmlns:a16="http://schemas.microsoft.com/office/drawing/2014/main" id="{07B99BA3-F2D2-32A9-2CD4-444F7C7CD6D4}"/>
            </a:ext>
          </a:extLst>
        </xdr:cNvPr>
        <xdr:cNvSpPr/>
      </xdr:nvSpPr>
      <xdr:spPr>
        <a:xfrm>
          <a:off x="602512" y="195716"/>
          <a:ext cx="2796918" cy="7346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aseline="0"/>
            <a:t>              </a:t>
          </a:r>
          <a:r>
            <a:rPr lang="en-IN" sz="2000" baseline="0">
              <a:solidFill>
                <a:sysClr val="windowText" lastClr="000000"/>
              </a:solidFill>
            </a:rPr>
            <a:t>Sales Analysis</a:t>
          </a:r>
          <a:endParaRPr lang="en-IN" sz="2000">
            <a:solidFill>
              <a:sysClr val="windowText" lastClr="000000"/>
            </a:solidFill>
          </a:endParaRPr>
        </a:p>
      </xdr:txBody>
    </xdr:sp>
    <xdr:clientData/>
  </xdr:twoCellAnchor>
  <xdr:twoCellAnchor>
    <xdr:from>
      <xdr:col>6</xdr:col>
      <xdr:colOff>287659</xdr:colOff>
      <xdr:row>0</xdr:row>
      <xdr:rowOff>173961</xdr:rowOff>
    </xdr:from>
    <xdr:to>
      <xdr:col>9</xdr:col>
      <xdr:colOff>537943</xdr:colOff>
      <xdr:row>4</xdr:row>
      <xdr:rowOff>170872</xdr:rowOff>
    </xdr:to>
    <xdr:sp macro="" textlink="EDA!P3">
      <xdr:nvSpPr>
        <xdr:cNvPr id="9" name="Rectangle: Rounded Corners 8">
          <a:extLst>
            <a:ext uri="{FF2B5EF4-FFF2-40B4-BE49-F238E27FC236}">
              <a16:creationId xmlns:a16="http://schemas.microsoft.com/office/drawing/2014/main" id="{5178D96F-ABED-4F00-821A-CD7D47CA996A}"/>
            </a:ext>
          </a:extLst>
        </xdr:cNvPr>
        <xdr:cNvSpPr/>
      </xdr:nvSpPr>
      <xdr:spPr>
        <a:xfrm>
          <a:off x="3955892" y="173961"/>
          <a:ext cx="2084400" cy="7411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CE7D27-9BC3-41B7-9652-8CBF808FDDF0}" type="TxLink">
            <a:rPr lang="en-US" sz="1600" b="0" i="0" u="none" strike="noStrike">
              <a:solidFill>
                <a:srgbClr val="000000"/>
              </a:solidFill>
              <a:latin typeface="Calibri"/>
              <a:ea typeface="Calibri"/>
              <a:cs typeface="Calibri"/>
            </a:rPr>
            <a:pPr algn="ctr"/>
            <a:t>126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10</xdr:col>
      <xdr:colOff>362098</xdr:colOff>
      <xdr:row>0</xdr:row>
      <xdr:rowOff>150143</xdr:rowOff>
    </xdr:from>
    <xdr:to>
      <xdr:col>14</xdr:col>
      <xdr:colOff>1010</xdr:colOff>
      <xdr:row>4</xdr:row>
      <xdr:rowOff>175712</xdr:rowOff>
    </xdr:to>
    <xdr:sp macro="" textlink="EDA!E3">
      <xdr:nvSpPr>
        <xdr:cNvPr id="10" name="Rectangle: Rounded Corners 9">
          <a:extLst>
            <a:ext uri="{FF2B5EF4-FFF2-40B4-BE49-F238E27FC236}">
              <a16:creationId xmlns:a16="http://schemas.microsoft.com/office/drawing/2014/main" id="{5F1AE50E-EA22-4CA3-AB1D-AD85490DF71A}"/>
            </a:ext>
          </a:extLst>
        </xdr:cNvPr>
        <xdr:cNvSpPr/>
      </xdr:nvSpPr>
      <xdr:spPr>
        <a:xfrm>
          <a:off x="6475819" y="150143"/>
          <a:ext cx="2084400" cy="7698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B31AF1-4930-47C3-857B-02144D03DDC7}" type="TxLink">
            <a:rPr lang="en-US" sz="1600" b="0" i="0" u="none" strike="noStrike">
              <a:solidFill>
                <a:srgbClr val="000000"/>
              </a:solidFill>
              <a:latin typeface="Calibri"/>
              <a:ea typeface="Calibri"/>
              <a:cs typeface="Calibri"/>
            </a:rPr>
            <a:pPr algn="ctr"/>
            <a:t>₹ 5,86,176.00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15</xdr:col>
      <xdr:colOff>4704</xdr:colOff>
      <xdr:row>0</xdr:row>
      <xdr:rowOff>157900</xdr:rowOff>
    </xdr:from>
    <xdr:to>
      <xdr:col>18</xdr:col>
      <xdr:colOff>254987</xdr:colOff>
      <xdr:row>4</xdr:row>
      <xdr:rowOff>184914</xdr:rowOff>
    </xdr:to>
    <xdr:sp macro="" textlink="EDA!F3">
      <xdr:nvSpPr>
        <xdr:cNvPr id="11" name="Rectangle: Rounded Corners 10">
          <a:extLst>
            <a:ext uri="{FF2B5EF4-FFF2-40B4-BE49-F238E27FC236}">
              <a16:creationId xmlns:a16="http://schemas.microsoft.com/office/drawing/2014/main" id="{5B62C8B2-B1B1-4F86-8154-93022C972A6A}"/>
            </a:ext>
          </a:extLst>
        </xdr:cNvPr>
        <xdr:cNvSpPr/>
      </xdr:nvSpPr>
      <xdr:spPr>
        <a:xfrm>
          <a:off x="9175285" y="157900"/>
          <a:ext cx="2084400" cy="771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6F3FEB-69C2-4313-8745-608741A38F94}"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vs </a:t>
          </a:r>
          <a:r>
            <a:rPr lang="en-US" sz="1600" b="0" i="0" u="none" strike="noStrike" baseline="0">
              <a:solidFill>
                <a:srgbClr val="000000"/>
              </a:solidFill>
              <a:latin typeface="Calibri"/>
              <a:ea typeface="Calibri"/>
              <a:cs typeface="Calibri"/>
            </a:rPr>
            <a:t>Delivery</a:t>
          </a:r>
          <a:endParaRPr lang="en-IN" sz="1600"/>
        </a:p>
      </xdr:txBody>
    </xdr:sp>
    <xdr:clientData/>
  </xdr:twoCellAnchor>
  <xdr:twoCellAnchor>
    <xdr:from>
      <xdr:col>19</xdr:col>
      <xdr:colOff>148676</xdr:colOff>
      <xdr:row>0</xdr:row>
      <xdr:rowOff>184875</xdr:rowOff>
    </xdr:from>
    <xdr:to>
      <xdr:col>22</xdr:col>
      <xdr:colOff>398717</xdr:colOff>
      <xdr:row>5</xdr:row>
      <xdr:rowOff>25819</xdr:rowOff>
    </xdr:to>
    <xdr:sp macro="" textlink="EDA!N3">
      <xdr:nvSpPr>
        <xdr:cNvPr id="12" name="Rectangle: Rounded Corners 11">
          <a:extLst>
            <a:ext uri="{FF2B5EF4-FFF2-40B4-BE49-F238E27FC236}">
              <a16:creationId xmlns:a16="http://schemas.microsoft.com/office/drawing/2014/main" id="{94C53F43-57B8-4F41-AD03-EA47DBCA6F24}"/>
            </a:ext>
          </a:extLst>
        </xdr:cNvPr>
        <xdr:cNvSpPr/>
      </xdr:nvSpPr>
      <xdr:spPr>
        <a:xfrm>
          <a:off x="11764746" y="184875"/>
          <a:ext cx="2084157" cy="771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C1EBEB-6D73-44D3-A7A2-0B4BE5C60A04}" type="TxLink">
            <a:rPr lang="en-US" sz="1600" b="0" i="0" u="none" strike="noStrike">
              <a:solidFill>
                <a:srgbClr val="000000"/>
              </a:solidFill>
              <a:latin typeface="Calibri"/>
              <a:ea typeface="Calibri"/>
              <a:cs typeface="Calibri"/>
            </a:rPr>
            <a:pPr algn="ctr"/>
            <a:t>₹ 4,652.19</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IN" sz="1600"/>
        </a:p>
      </xdr:txBody>
    </xdr:sp>
    <xdr:clientData/>
  </xdr:twoCellAnchor>
  <xdr:twoCellAnchor editAs="oneCell">
    <xdr:from>
      <xdr:col>23</xdr:col>
      <xdr:colOff>2208</xdr:colOff>
      <xdr:row>1</xdr:row>
      <xdr:rowOff>5926</xdr:rowOff>
    </xdr:from>
    <xdr:to>
      <xdr:col>25</xdr:col>
      <xdr:colOff>602299</xdr:colOff>
      <xdr:row>8</xdr:row>
      <xdr:rowOff>176695</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91323A98-4322-DC4C-FCE0-7B895C7CD0F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68239" y="184520"/>
              <a:ext cx="1814529" cy="1420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4034</xdr:colOff>
      <xdr:row>9</xdr:row>
      <xdr:rowOff>86178</xdr:rowOff>
    </xdr:from>
    <xdr:to>
      <xdr:col>26</xdr:col>
      <xdr:colOff>4563</xdr:colOff>
      <xdr:row>17</xdr:row>
      <xdr:rowOff>88349</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FB1D1B86-B3B7-19CC-214B-B8D6261697C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970065" y="1693522"/>
              <a:ext cx="1822186" cy="14309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301579</xdr:colOff>
      <xdr:row>1</xdr:row>
      <xdr:rowOff>99566</xdr:rowOff>
    </xdr:from>
    <xdr:to>
      <xdr:col>2</xdr:col>
      <xdr:colOff>235776</xdr:colOff>
      <xdr:row>4</xdr:row>
      <xdr:rowOff>96385</xdr:rowOff>
    </xdr:to>
    <xdr:pic>
      <xdr:nvPicPr>
        <xdr:cNvPr id="20" name="Picture 19">
          <a:extLst>
            <a:ext uri="{FF2B5EF4-FFF2-40B4-BE49-F238E27FC236}">
              <a16:creationId xmlns:a16="http://schemas.microsoft.com/office/drawing/2014/main" id="{C4F6B077-44D7-88F7-4705-87D1B3F31F3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1179" y="282446"/>
          <a:ext cx="543797" cy="545459"/>
        </a:xfrm>
        <a:prstGeom prst="rect">
          <a:avLst/>
        </a:prstGeom>
      </xdr:spPr>
    </xdr:pic>
    <xdr:clientData/>
  </xdr:twoCellAnchor>
  <xdr:twoCellAnchor editAs="oneCell">
    <xdr:from>
      <xdr:col>23</xdr:col>
      <xdr:colOff>9294</xdr:colOff>
      <xdr:row>18</xdr:row>
      <xdr:rowOff>11044</xdr:rowOff>
    </xdr:from>
    <xdr:to>
      <xdr:col>26</xdr:col>
      <xdr:colOff>22360</xdr:colOff>
      <xdr:row>36</xdr:row>
      <xdr:rowOff>154608</xdr:rowOff>
    </xdr:to>
    <mc:AlternateContent xmlns:mc="http://schemas.openxmlformats.org/markup-compatibility/2006">
      <mc:Choice xmlns:a14="http://schemas.microsoft.com/office/drawing/2010/main" Requires="a14">
        <xdr:graphicFrame macro="">
          <xdr:nvGraphicFramePr>
            <xdr:cNvPr id="21" name="Occasion">
              <a:extLst>
                <a:ext uri="{FF2B5EF4-FFF2-40B4-BE49-F238E27FC236}">
                  <a16:creationId xmlns:a16="http://schemas.microsoft.com/office/drawing/2014/main" id="{E2F5B2CC-D82C-4B86-9CCD-B6C8BDC0322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975325" y="3225732"/>
              <a:ext cx="1834723" cy="3358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3935182" backgroundQuery="1" createdVersion="8" refreshedVersion="8" minRefreshableVersion="3" recordCount="0" supportSubquery="1" supportAdvancedDrill="1" xr:uid="{3CEFC1F7-4292-47B4-8F69-715FBE9A623A}">
  <cacheSource type="external" connectionId="9"/>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4629628" backgroundQuery="1" createdVersion="8" refreshedVersion="8" minRefreshableVersion="3" recordCount="0" supportSubquery="1" supportAdvancedDrill="1" xr:uid="{526A47B8-BFDF-4759-8ECD-325FB544397D}">
  <cacheSource type="external" connectionId="9"/>
  <cacheFields count="7">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5">
        <s v="Colors"/>
        <s v="Mugs"/>
        <s v="Raksha Bandhan"/>
        <s v="Soft Toys"/>
        <s v="Sweets"/>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5208336" backgroundQuery="1" createdVersion="8" refreshedVersion="8" minRefreshableVersion="3" recordCount="0" supportSubquery="1" supportAdvancedDrill="1" xr:uid="{F724EE5E-027C-47E6-B118-149BA43DB45C}">
  <cacheSource type="external" connectionId="9"/>
  <cacheFields count="6">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5555559" backgroundQuery="1" createdVersion="8" refreshedVersion="8" minRefreshableVersion="3" recordCount="0" supportSubquery="1" supportAdvancedDrill="1" xr:uid="{FAEF2FE8-9ADB-48D9-8F8C-BCDD56526383}">
  <cacheSource type="external" connectionId="9"/>
  <cacheFields count="6">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5902775" backgroundQuery="1" createdVersion="8" refreshedVersion="8" minRefreshableVersion="3" recordCount="0" supportSubquery="1" supportAdvancedDrill="1" xr:uid="{FFD23AED-AA1F-4257-B969-9530ACCA7416}">
  <cacheSource type="external" connectionId="9"/>
  <cacheFields count="8">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Day Name (Order Date)].[Day Name (Order Date)]" caption="Day Name (Order 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7"/>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4"/>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671296" backgroundQuery="1" createdVersion="8" refreshedVersion="8" minRefreshableVersion="3" recordCount="0" supportSubquery="1" supportAdvancedDrill="1" xr:uid="{C74EB43F-D7A4-4E89-A01C-33A306E68920}">
  <cacheSource type="external" connectionId="9"/>
  <cacheFields count="8">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7"/>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7060184" backgroundQuery="1" createdVersion="8" refreshedVersion="8" minRefreshableVersion="3" recordCount="0" supportSubquery="1" supportAdvancedDrill="1" xr:uid="{DCBF9CF9-C2CE-4FD4-9CD9-F5CD14627F0B}">
  <cacheSource type="external" connectionId="9"/>
  <cacheFields count="5">
    <cacheField name="[Products].[Category].[Category]" caption="Category" numFmtId="0" hierarchy="33" level="1">
      <sharedItems count="5">
        <s v="Colors"/>
        <s v="Mugs"/>
        <s v="Raksha Bandhan"/>
        <s v="Soft Toys"/>
        <s v="Sweets"/>
      </sharedItems>
    </cacheField>
    <cacheField name="[Measures].[Sum of Revenue]" caption="Sum of Revenue" numFmtId="0" hierarchy="43"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7407407" backgroundQuery="1" createdVersion="8" refreshedVersion="8" minRefreshableVersion="3" recordCount="0" supportSubquery="1" supportAdvancedDrill="1" xr:uid="{4253ECE8-1F27-4341-A21B-0C13CB130E12}">
  <cacheSource type="external" connectionId="9"/>
  <cacheFields count="5">
    <cacheField name="[Measures].[Sum of Revenue]" caption="Sum of Revenue" numFmtId="0" hierarchy="43" level="32767"/>
    <cacheField name="[Measures].[Average of diff_order_delivery]" caption="Average of diff_order_delivery" numFmtId="0" hierarchy="45"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775463" backgroundQuery="1" createdVersion="8" refreshedVersion="8" minRefreshableVersion="3" recordCount="0" supportSubquery="1" supportAdvancedDrill="1" xr:uid="{C1765942-D46C-4A51-BE25-DE1A903B49D6}">
  <cacheSource type="external" connectionId="9"/>
  <cacheFields count="6">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8333331" backgroundQuery="1" createdVersion="8" refreshedVersion="8" minRefreshableVersion="3" recordCount="0" supportSubquery="1" supportAdvancedDrill="1" xr:uid="{95C925D3-0CF7-4413-89AC-4C7EBC2E8373}">
  <cacheSource type="external" connectionId="9"/>
  <cacheFields count="8">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7"/>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736258912038" backgroundQuery="1" createdVersion="8" refreshedVersion="8" minRefreshableVersion="3" recordCount="0" supportSubquery="1" supportAdvancedDrill="1" xr:uid="{95C2CE6A-BC41-4E7D-B654-6C2F2F248822}">
  <cacheSource type="external" connectionId="9"/>
  <cacheFields count="7">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6"/>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568697222225" backgroundQuery="1" createdVersion="3" refreshedVersion="8" minRefreshableVersion="3" recordCount="0" supportSubquery="1" supportAdvancedDrill="1" xr:uid="{268F8D10-F6D7-40B6-A9FC-D335F3CD9234}">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3965007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tra Shree" refreshedDate="45934.699730671295" backgroundQuery="1" createdVersion="3" refreshedVersion="8" minRefreshableVersion="3" recordCount="0" supportSubquery="1" supportAdvancedDrill="1" xr:uid="{D6BE1B7F-0BF0-4994-998A-AAD96CF0F028}">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7979596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AA305-F522-4D98-B6BB-639923CDBE10}" name="PivotTable12" cacheId="2387"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10">
  <location ref="AD14:AE39" firstHeaderRow="1" firstDataRow="1" firstDataCol="1"/>
  <pivotFields count="8">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7" type="dateBetween" evalOrder="-1" id="38"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6" type="dateBetween" evalOrder="-1" id="2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 fld="3" type="count" id="2" iMeasureHier="4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31C5FE-0868-460E-8B14-0FFB34E091B3}" name="PivotTable11" cacheId="2384"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4">
  <location ref="AA14:AB22" firstHeaderRow="1" firstDataRow="1" firstDataCol="1"/>
  <pivotFields count="8">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7" type="dateBetween" evalOrder="-1" id="44"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6" type="dateBetween" evalOrder="-1" id="2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 fld="3" type="count" id="2" iMeasureHier="43">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656D8-693F-4BCB-9491-92F6311789D0}" name="PivotTable10" cacheId="2381"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location ref="AD2:AE8"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43"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4" type="dateBetween" evalOrder="-1" id="28"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DCB730-1364-4A25-9FD6-76B1A981A110}" name="PivotTable9" cacheId="2402"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5">
  <location ref="AA2:AB10"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6" type="dateBetween" evalOrder="-1" id="44"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5" type="dateBetween" evalOrder="-1" id="2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 fld="3" type="count" id="2" iMeasureHier="4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196880-4D99-497F-8906-FB5F8C80D156}" name="PivotTable7" cacheId="2399"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4">
  <location ref="U2:V13"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4"/>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5">
    <filter fld="7" type="dateBetween" evalOrder="-1" id="45"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6" type="dateBetween" evalOrder="-1" id="3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3">
      <autoFilter ref="A1">
        <filterColumn colId="0">
          <top10 val="5" filterVal="5"/>
        </filterColumn>
      </autoFilter>
    </filter>
    <filter fld="2" type="count" id="2" iMeasureHier="43">
      <autoFilter ref="A1">
        <filterColumn colId="0">
          <top10 val="10" filterVal="10"/>
        </filterColumn>
      </autoFilter>
    </filter>
    <filter fld="3" type="count" id="3"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5A1E98-5997-4D61-AFE1-A821C00BA161}" name="PivotTable5" cacheId="2375"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4">
  <location ref="R2:S8"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6" type="dateBetween" evalOrder="-1" id="49"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4" type="dateBetween" evalOrder="-1" id="3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 fld="3" type="count" id="2" iMeasureHier="43">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9C149-F7B3-45D5-90B2-4B5F2DF839AF}" name="PivotTable6" cacheId="2396" applyNumberFormats="0" applyBorderFormats="0" applyFontFormats="0" applyPatternFormats="0" applyAlignmentFormats="0" applyWidthHeightFormats="1" dataCaption="Values" tag="fb15fbd3-da36-4a18-8fa7-7301d05ad722" updatedVersion="8" minRefreshableVersion="5" useAutoFormatting="1" subtotalHiddenItems="1" itemPrintTitles="1" createdVersion="8" indent="0" outline="1" outlineData="1" multipleFieldFilters="0">
  <location ref="N2:P3"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Revenue(Cx Spending)" fld="1" subtotal="average" baseField="0" baseItem="1"/>
    <dataField name="Average of diff_order_delivery" fld="0" subtotal="average" baseField="0" baseItem="0"/>
    <dataField name="Count of Order_ID" fld="2" subtotal="count"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caption="Average of diff_order_delivery"/>
    <pivotHierarchy dragToData="1" caption="Average of Revenue(Cx Spending)"/>
    <pivotHierarchy dragToData="1"/>
    <pivotHierarchy dragToData="1" caption="Count of Order_ID"/>
  </pivotHierarchies>
  <pivotTableStyleInfo name="PivotStyleLight16" showRowHeaders="1" showColHeaders="1" showRowStripes="0" showColStripes="0" showLastColumn="1"/>
  <filters count="2">
    <filter fld="5" type="dateBetween" evalOrder="-1" id="4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4" type="dateBetween" evalOrder="-1" id="2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797D94-8E34-4EFE-BF0E-97BB84B24B69}" name="PivotTable1" cacheId="2378"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4">
  <location ref="K2:L8"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43"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4" type="dateBetween" evalOrder="-1" id="28"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F9A263-FB29-4F8C-BDBF-834291AD7274}" name="PivotTable4" cacheId="2372" applyNumberFormats="0" applyBorderFormats="0" applyFontFormats="0" applyPatternFormats="0" applyAlignmentFormats="0" applyWidthHeightFormats="1" dataCaption="Values" tag="aca78ce1-1e79-4c42-a1c9-57f14ba816d6" updatedVersion="8" minRefreshableVersion="5" useAutoFormatting="1" itemPrintTitles="1" createdVersion="8" indent="0" outline="1" outlineData="1" multipleFieldFilters="0" chartFormat="4">
  <location ref="H2:I15"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7"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dateBetween" evalOrder="-1" id="1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D1C5D5-2800-4355-B06E-18CE693796AD}" name="PivotTable3" cacheId="2393" applyNumberFormats="0" applyBorderFormats="0" applyFontFormats="0" applyPatternFormats="0" applyAlignmentFormats="0" applyWidthHeightFormats="1" dataCaption="Values" tag="fb15fbd3-da36-4a18-8fa7-7301d05ad722" updatedVersion="8" minRefreshableVersion="5" useAutoFormatting="1" itemPrintTitles="1" createdVersion="8" indent="0" outline="1" outlineData="1" multipleFieldFilters="0">
  <location ref="E2:F3"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2">
    <filter fld="4" type="dateBetween" evalOrder="-1" id="4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dateBetween" evalOrder="-1" id="2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5CEC75-5DC8-43AB-ADE2-6CDD73A08F18}" name="PivotTable2" cacheId="2390" applyNumberFormats="0" applyBorderFormats="0" applyFontFormats="0" applyPatternFormats="0" applyAlignmentFormats="0" applyWidthHeightFormats="1" dataCaption="Values" tag="2f093d47-7e02-4b3c-83dd-0c302d9f8b99" updatedVersion="8" minRefreshableVersion="5" useAutoFormatting="1" itemPrintTitles="1" createdVersion="8" indent="0" outline="1" outlineData="1" multipleFieldFilters="0">
  <location ref="B2:C8"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2" name="[Orders].[Delivery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3" type="dateBetween" evalOrder="-1" id="27"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5D26D00-1BC1-4809-AE8C-5AACB426CFC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4639A78-7A5E-486F-BF75-A4AAF011E0F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FD56342-5508-45FE-9EE0-682A9166DC7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0C92320-9848-4BF5-9FE6-2E716F8C540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7244E9BD-05D5-44CA-9776-77CD145948ED}" sourceName="[Orders].[Occasion]">
  <pivotTables>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1"/>
  </pivotTables>
  <data>
    <olap pivotCacheId="123965007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ECF5C62-3920-4B23-B0F7-8A29A3928C1C}" cache="Slicer_Occasion1"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E7521-99F8-4EE3-B61C-1404C767149F}" name="data" displayName="data" ref="A1:F4" tableType="queryTable" totalsRowShown="0">
  <autoFilter ref="A1:F4" xr:uid="{690E7521-99F8-4EE3-B61C-1404C767149F}"/>
  <tableColumns count="6">
    <tableColumn id="1" xr3:uid="{6FAC15A2-5F47-4208-99E1-30264BF6F121}" uniqueName="1" name="Name" queryTableFieldId="1" dataDxfId="23"/>
    <tableColumn id="2" xr3:uid="{6CD3DC4F-37BB-4392-8CC8-F8E46AB539E6}" uniqueName="2" name="Extension" queryTableFieldId="2" dataDxfId="22"/>
    <tableColumn id="3" xr3:uid="{6E304117-F5EA-4499-8149-7666E8F77CEB}" uniqueName="3" name="Date accessed" queryTableFieldId="3" dataDxfId="21"/>
    <tableColumn id="4" xr3:uid="{17496C61-985C-4358-87A5-8C24BAF91327}" uniqueName="4" name="Date modified" queryTableFieldId="4" dataDxfId="20"/>
    <tableColumn id="5" xr3:uid="{5F987934-121F-4105-BB8F-490BBF283D71}" uniqueName="5" name="Date created" queryTableFieldId="5" dataDxfId="19"/>
    <tableColumn id="6" xr3:uid="{C0842CE8-AB13-46F3-A487-FF2408FF2E9E}"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2DA68E-6BC6-4D49-AB7E-88B47FCD55CA}" name="Customers" displayName="Customers" ref="A1:G101" tableType="queryTable" totalsRowShown="0">
  <autoFilter ref="A1:G101" xr:uid="{252DA68E-6BC6-4D49-AB7E-88B47FCD55CA}"/>
  <tableColumns count="7">
    <tableColumn id="1" xr3:uid="{492E750B-D011-46D9-9284-C67361F9479C}" uniqueName="1" name="Customer_ID" queryTableFieldId="1" dataDxfId="17"/>
    <tableColumn id="2" xr3:uid="{3C674F04-E775-40E9-88E1-81173FC3624E}" uniqueName="2" name="Name" queryTableFieldId="2" dataDxfId="16"/>
    <tableColumn id="3" xr3:uid="{429823BF-8BCD-4F26-B4B3-6116D9D13E5B}" uniqueName="3" name="City" queryTableFieldId="3" dataDxfId="15"/>
    <tableColumn id="4" xr3:uid="{7E04A9A0-ED16-431A-8193-3D21C1794F51}" uniqueName="4" name="Contact_Number" queryTableFieldId="4" dataDxfId="14"/>
    <tableColumn id="5" xr3:uid="{F7A1F91F-9D86-4CA6-9322-9D0E62B6517D}" uniqueName="5" name="Email" queryTableFieldId="5" dataDxfId="13"/>
    <tableColumn id="6" xr3:uid="{61536B7A-BFB2-43D2-8424-4215D638DAB5}" uniqueName="6" name="Gender" queryTableFieldId="6" dataDxfId="12"/>
    <tableColumn id="7" xr3:uid="{43149790-9921-4464-84D8-7DBB5644603E}"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4CDB26-8C90-4161-8C53-2C7354E3FA24}" name="Orders" displayName="Orders" ref="A1:Q1001" tableType="queryTable" totalsRowShown="0">
  <autoFilter ref="A1:Q1001" xr:uid="{4A4CDB26-8C90-4161-8C53-2C7354E3FA24}"/>
  <tableColumns count="17">
    <tableColumn id="1" xr3:uid="{D8EC17D4-BE12-47A6-A2E8-0243CB349F19}" uniqueName="1" name="Order_ID" queryTableFieldId="1"/>
    <tableColumn id="2" xr3:uid="{BBE49E85-71C3-430D-A35B-8623C40297E8}" uniqueName="2" name="Customer_ID" queryTableFieldId="2" dataDxfId="10"/>
    <tableColumn id="3" xr3:uid="{187C01A9-5E90-466F-BFF5-6302D118FC29}" uniqueName="3" name="Product_ID" queryTableFieldId="3"/>
    <tableColumn id="4" xr3:uid="{F8FE4CEE-1887-4BCB-9047-3258C2A658FA}" uniqueName="4" name="Quantity" queryTableFieldId="4"/>
    <tableColumn id="5" xr3:uid="{4AD934C1-0164-4416-82FB-1471CC74C743}" uniqueName="5" name="Order_Date" queryTableFieldId="5" dataDxfId="9"/>
    <tableColumn id="6" xr3:uid="{0B5DC09F-5EC5-4D41-8E1B-637C270478C5}" uniqueName="6" name="Order_Time" queryTableFieldId="6" dataDxfId="8"/>
    <tableColumn id="7" xr3:uid="{0A2CD125-550D-4A21-B747-8CD33482134F}" uniqueName="7" name="Delivery_Date" queryTableFieldId="7" dataDxfId="7"/>
    <tableColumn id="8" xr3:uid="{A9F6A6AD-BAB2-4749-8E56-355DA1AC596F}" uniqueName="8" name="Delivery_Time" queryTableFieldId="8" dataDxfId="6"/>
    <tableColumn id="9" xr3:uid="{E352618B-0B94-4325-BC86-F98181E3E5BB}" uniqueName="9" name="Location" queryTableFieldId="9" dataDxfId="5"/>
    <tableColumn id="10" xr3:uid="{A686892B-EAF2-455D-ABCF-788CBB01C272}" uniqueName="10" name="Occasion" queryTableFieldId="10" dataDxfId="4"/>
    <tableColumn id="11" xr3:uid="{301F6A69-8F9D-4F7D-9150-A11192AC6D6B}" uniqueName="11" name="Month Name" queryTableFieldId="11" dataDxfId="3"/>
    <tableColumn id="12" xr3:uid="{7AD83E85-A90C-4C74-8B09-1F8FE57ADD37}" uniqueName="12" name="Hour (Order Time)" queryTableFieldId="12"/>
    <tableColumn id="13" xr3:uid="{E2A13CDA-FEC5-41F0-8B56-E3ED4FD12329}" uniqueName="13" name="diff_order_delivery" queryTableFieldId="13"/>
    <tableColumn id="14" xr3:uid="{E8F0EE26-E2C4-4F39-A1B8-CF4410629E6E}" uniqueName="14" name="Hour (delivery time)" queryTableFieldId="14"/>
    <tableColumn id="15" xr3:uid="{E40EFEB0-1245-412A-AE73-8FF27EAF37BB}" uniqueName="15" name="Price (INR)" queryTableFieldId="15"/>
    <tableColumn id="16" xr3:uid="{8C2F5F99-6656-4088-9DFE-81B81A922F51}" uniqueName="16" name="Revenue" queryTableFieldId="16"/>
    <tableColumn id="18" xr3:uid="{670EE24B-1413-4FC4-875B-7AF626C05C69}"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5450D2-E6FB-406C-8E26-A3FF61B7A2B2}" name="Products" displayName="Products" ref="A1:E71" tableType="queryTable" totalsRowShown="0">
  <autoFilter ref="A1:E71" xr:uid="{6E5450D2-E6FB-406C-8E26-A3FF61B7A2B2}"/>
  <tableColumns count="5">
    <tableColumn id="1" xr3:uid="{FF04F280-CFBE-47D3-84D5-F2E3FF551FA5}" uniqueName="1" name="Product_ID" queryTableFieldId="1"/>
    <tableColumn id="2" xr3:uid="{6FDE7DE5-8689-42A1-8494-962D5139A410}" uniqueName="2" name="Product_Name" queryTableFieldId="2" dataDxfId="2"/>
    <tableColumn id="3" xr3:uid="{5FC99B0A-AAF1-4977-BE64-94772742B7DC}" uniqueName="3" name="Category" queryTableFieldId="3" dataDxfId="1"/>
    <tableColumn id="4" xr3:uid="{D1443584-660A-4238-99A7-1FE9B1001AE5}" uniqueName="4" name="Price (INR)" queryTableFieldId="4"/>
    <tableColumn id="5" xr3:uid="{1FAAD432-0727-4E47-88FF-35A869473E0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26F638-7C97-482F-97D0-DBDC852504F6}" sourceName="[Orders].[Order_Date]">
  <pivotTables>
    <pivotTable tabId="1" name="PivotTable5"/>
    <pivotTable tabId="1" name="PivotTable1"/>
    <pivotTable tabId="1" name="PivotTable10"/>
    <pivotTable tabId="1" name="PivotTable11"/>
    <pivotTable tabId="1" name="PivotTable2"/>
    <pivotTable tabId="1" name="PivotTable3"/>
    <pivotTable tabId="1" name="PivotTable6"/>
    <pivotTable tabId="1" name="PivotTable7"/>
    <pivotTable tabId="1" name="PivotTable9"/>
    <pivotTable tabId="1" name="PivotTable12"/>
    <pivotTable tabId="1" name="PivotTable4"/>
  </pivotTables>
  <state minimalRefreshVersion="6" lastRefreshVersion="6" pivotCacheId="1797959655"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E09D168-C4E5-486D-B8B6-631E23FAD460}" sourceName="[Orders].[Delivery_Date]">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6"/>
    <pivotTable tabId="1" name="PivotTable7"/>
    <pivotTable tabId="1" name="PivotTable9"/>
    <pivotTable tabId="1" name="PivotTable4"/>
  </pivotTables>
  <state minimalRefreshVersion="6" lastRefreshVersion="6" pivotCacheId="1797959655"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7809741-6E64-498C-9F47-E4099A33BC40}" cache="Timeline_Order_Date" caption="Order_Date" level="2" selectionLevel="0" scrollPosition="2023-09-07T00:00:00"/>
  <timeline name="Delivery_Date" xr10:uid="{C23CA584-E0B5-44C1-84BB-8F15298DEB74}" cache="Timeline_Delivery_Date" caption="Delivery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9814-D1AB-4DF6-9BF9-6C8065AEE1BF}">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4.6640625" bestFit="1" customWidth="1"/>
  </cols>
  <sheetData>
    <row r="1" spans="1:6" x14ac:dyDescent="0.3">
      <c r="A1" t="s">
        <v>0</v>
      </c>
      <c r="B1" t="s">
        <v>1</v>
      </c>
      <c r="C1" t="s">
        <v>2</v>
      </c>
      <c r="D1" t="s">
        <v>3</v>
      </c>
      <c r="E1" t="s">
        <v>4</v>
      </c>
      <c r="F1" t="s">
        <v>5</v>
      </c>
    </row>
    <row r="2" spans="1:6" x14ac:dyDescent="0.3">
      <c r="A2" t="s">
        <v>6</v>
      </c>
      <c r="B2" t="s">
        <v>7</v>
      </c>
      <c r="C2" s="1">
        <v>45933.616797800925</v>
      </c>
      <c r="D2" s="1">
        <v>45933.485809143516</v>
      </c>
      <c r="E2" s="1">
        <v>45933.616797762348</v>
      </c>
      <c r="F2" t="s">
        <v>8</v>
      </c>
    </row>
    <row r="3" spans="1:6" x14ac:dyDescent="0.3">
      <c r="A3" t="s">
        <v>9</v>
      </c>
      <c r="B3" t="s">
        <v>7</v>
      </c>
      <c r="C3" s="1">
        <v>45933.616798148149</v>
      </c>
      <c r="D3" s="1">
        <v>45933.485905594134</v>
      </c>
      <c r="E3" s="1">
        <v>45933.616798148149</v>
      </c>
      <c r="F3" t="s">
        <v>8</v>
      </c>
    </row>
    <row r="4" spans="1:6" x14ac:dyDescent="0.3">
      <c r="A4" t="s">
        <v>10</v>
      </c>
      <c r="B4" t="s">
        <v>7</v>
      </c>
      <c r="C4" s="1">
        <v>45933.61679803241</v>
      </c>
      <c r="D4" s="1">
        <v>45933.485998649689</v>
      </c>
      <c r="E4" s="1">
        <v>45933.61679803241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473BF-097B-4C53-AF0F-9AC9ABE3B8A0}">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085F-8CEE-4476-B135-D6831AF65964}">
  <dimension ref="A1:Q1001"/>
  <sheetViews>
    <sheetView topLeftCell="E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21875" bestFit="1" customWidth="1"/>
    <col min="15" max="15" width="12.109375" bestFit="1" customWidth="1"/>
    <col min="16" max="16" width="10.5546875" bestFit="1" customWidth="1"/>
    <col min="17" max="17" width="23" bestFit="1" customWidth="1"/>
    <col min="18" max="18" width="14.88671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6200-E0D2-4988-9492-6D058622628F}">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853C-9613-4682-A4AE-543B97DB53AE}">
  <dimension ref="B1:AE39"/>
  <sheetViews>
    <sheetView tabSelected="1" zoomScale="71" workbookViewId="0">
      <selection activeCell="I24" sqref="I24"/>
    </sheetView>
  </sheetViews>
  <sheetFormatPr defaultRowHeight="14.4" x14ac:dyDescent="0.3"/>
  <cols>
    <col min="2" max="2" width="15.5546875" bestFit="1" customWidth="1"/>
    <col min="3" max="3" width="15.109375" bestFit="1" customWidth="1"/>
    <col min="4" max="4" width="14.44140625" bestFit="1" customWidth="1"/>
    <col min="5" max="5" width="15.109375" bestFit="1" customWidth="1"/>
    <col min="6" max="6" width="27.6640625" bestFit="1" customWidth="1"/>
    <col min="7" max="7" width="12.109375" bestFit="1" customWidth="1"/>
    <col min="8" max="8" width="13.77734375" bestFit="1" customWidth="1"/>
    <col min="9" max="9" width="15.109375" bestFit="1" customWidth="1"/>
    <col min="10" max="10" width="12.109375" bestFit="1" customWidth="1"/>
    <col min="11" max="11" width="18.5546875" bestFit="1" customWidth="1"/>
    <col min="12" max="12" width="15.109375" bestFit="1" customWidth="1"/>
    <col min="13" max="13" width="12.109375" bestFit="1" customWidth="1"/>
    <col min="14" max="14" width="30.44140625" bestFit="1" customWidth="1"/>
    <col min="15" max="15" width="27.6640625" bestFit="1" customWidth="1"/>
    <col min="16" max="16" width="16.88671875" bestFit="1" customWidth="1"/>
    <col min="17" max="17" width="16.44140625" customWidth="1"/>
    <col min="18" max="18" width="15.5546875" bestFit="1" customWidth="1"/>
    <col min="19" max="19" width="15.109375" bestFit="1" customWidth="1"/>
    <col min="21" max="21" width="15.5546875" bestFit="1" customWidth="1"/>
    <col min="22" max="22" width="16.88671875" bestFit="1" customWidth="1"/>
    <col min="23" max="23" width="15.109375" bestFit="1" customWidth="1"/>
    <col min="24" max="24" width="17.77734375" customWidth="1"/>
    <col min="25" max="25" width="17.6640625" customWidth="1"/>
    <col min="27" max="27" width="15.5546875" bestFit="1" customWidth="1"/>
    <col min="28" max="28" width="15.109375" bestFit="1" customWidth="1"/>
    <col min="30" max="30" width="13.77734375" bestFit="1" customWidth="1"/>
    <col min="31" max="31" width="15.109375" bestFit="1" customWidth="1"/>
  </cols>
  <sheetData>
    <row r="1" spans="2:31" x14ac:dyDescent="0.3">
      <c r="B1" s="6" t="s">
        <v>944</v>
      </c>
      <c r="C1" s="6"/>
      <c r="E1" s="6" t="s">
        <v>945</v>
      </c>
      <c r="F1" s="6"/>
      <c r="H1" s="6" t="s">
        <v>947</v>
      </c>
      <c r="I1" s="6"/>
      <c r="K1" s="6" t="s">
        <v>948</v>
      </c>
      <c r="L1" s="6"/>
      <c r="N1" s="6" t="s">
        <v>949</v>
      </c>
      <c r="O1" s="6"/>
      <c r="P1" s="6"/>
      <c r="R1" s="6" t="s">
        <v>951</v>
      </c>
      <c r="S1" s="6"/>
      <c r="U1" s="6" t="s">
        <v>952</v>
      </c>
      <c r="V1" s="6"/>
      <c r="X1" s="6" t="s">
        <v>954</v>
      </c>
      <c r="Y1" s="6"/>
      <c r="AA1" s="6" t="s">
        <v>955</v>
      </c>
      <c r="AB1" s="6"/>
      <c r="AD1" s="6" t="s">
        <v>956</v>
      </c>
      <c r="AE1" s="6"/>
    </row>
    <row r="2" spans="2:31" x14ac:dyDescent="0.3">
      <c r="B2" s="4" t="s">
        <v>932</v>
      </c>
      <c r="C2" t="s">
        <v>943</v>
      </c>
      <c r="E2" t="s">
        <v>943</v>
      </c>
      <c r="F2" t="s">
        <v>946</v>
      </c>
      <c r="H2" s="4" t="s">
        <v>932</v>
      </c>
      <c r="I2" t="s">
        <v>943</v>
      </c>
      <c r="K2" s="4" t="s">
        <v>932</v>
      </c>
      <c r="L2" t="s">
        <v>943</v>
      </c>
      <c r="N2" t="s">
        <v>950</v>
      </c>
      <c r="O2" t="s">
        <v>946</v>
      </c>
      <c r="P2" t="s">
        <v>953</v>
      </c>
      <c r="R2" s="4" t="s">
        <v>932</v>
      </c>
      <c r="S2" t="s">
        <v>943</v>
      </c>
      <c r="U2" s="4" t="s">
        <v>932</v>
      </c>
      <c r="V2" t="s">
        <v>953</v>
      </c>
      <c r="X2">
        <f>CORREL(Orders!D:D,Orders!M:M)</f>
        <v>3.4781737193018245E-3</v>
      </c>
      <c r="AA2" s="4" t="s">
        <v>932</v>
      </c>
      <c r="AB2" t="s">
        <v>943</v>
      </c>
      <c r="AD2" s="4" t="s">
        <v>932</v>
      </c>
      <c r="AE2" t="s">
        <v>943</v>
      </c>
    </row>
    <row r="3" spans="2:31" x14ac:dyDescent="0.3">
      <c r="B3" s="5" t="s">
        <v>863</v>
      </c>
      <c r="C3" s="7">
        <v>105732</v>
      </c>
      <c r="E3" s="7">
        <v>586176</v>
      </c>
      <c r="F3" s="9">
        <v>5.7222222222222223</v>
      </c>
      <c r="H3" s="5" t="s">
        <v>842</v>
      </c>
      <c r="I3" s="7">
        <v>34078</v>
      </c>
      <c r="K3" s="5" t="s">
        <v>885</v>
      </c>
      <c r="L3" s="7">
        <v>96701</v>
      </c>
      <c r="N3" s="7">
        <v>4652.1904999999997</v>
      </c>
      <c r="O3" s="9">
        <v>5.7222222222222223</v>
      </c>
      <c r="P3" s="9">
        <v>126</v>
      </c>
      <c r="Q3" s="9"/>
      <c r="R3" s="5" t="s">
        <v>863</v>
      </c>
      <c r="S3" s="7">
        <v>105732</v>
      </c>
      <c r="U3" s="5" t="s">
        <v>242</v>
      </c>
      <c r="V3" s="9">
        <v>3</v>
      </c>
      <c r="AA3" s="5" t="s">
        <v>699</v>
      </c>
      <c r="AB3" s="7">
        <v>586176</v>
      </c>
      <c r="AD3" s="5" t="s">
        <v>885</v>
      </c>
      <c r="AE3" s="7">
        <v>96701</v>
      </c>
    </row>
    <row r="4" spans="2:31" x14ac:dyDescent="0.3">
      <c r="B4" s="5" t="s">
        <v>874</v>
      </c>
      <c r="C4" s="7">
        <v>11610</v>
      </c>
      <c r="H4" s="5" t="s">
        <v>621</v>
      </c>
      <c r="I4" s="7">
        <v>80152</v>
      </c>
      <c r="K4" s="5" t="s">
        <v>905</v>
      </c>
      <c r="L4" s="7">
        <v>88944</v>
      </c>
      <c r="R4" s="5" t="s">
        <v>874</v>
      </c>
      <c r="S4" s="7">
        <v>11610</v>
      </c>
      <c r="U4" s="5" t="s">
        <v>330</v>
      </c>
      <c r="V4" s="9">
        <v>4</v>
      </c>
      <c r="AA4" s="5" t="s">
        <v>698</v>
      </c>
      <c r="AB4" s="7">
        <v>674634</v>
      </c>
      <c r="AD4" s="5" t="s">
        <v>905</v>
      </c>
      <c r="AE4" s="7">
        <v>88944</v>
      </c>
    </row>
    <row r="5" spans="2:31" x14ac:dyDescent="0.3">
      <c r="B5" s="5" t="s">
        <v>794</v>
      </c>
      <c r="C5" s="7">
        <v>60640</v>
      </c>
      <c r="H5" s="5" t="s">
        <v>747</v>
      </c>
      <c r="I5" s="7">
        <v>55334</v>
      </c>
      <c r="K5" s="5" t="s">
        <v>914</v>
      </c>
      <c r="L5" s="7">
        <v>68292</v>
      </c>
      <c r="R5" s="5" t="s">
        <v>794</v>
      </c>
      <c r="S5" s="7">
        <v>60640</v>
      </c>
      <c r="U5" s="5" t="s">
        <v>218</v>
      </c>
      <c r="V5" s="9">
        <v>3</v>
      </c>
      <c r="AA5" s="5" t="s">
        <v>707</v>
      </c>
      <c r="AB5" s="7">
        <v>408194</v>
      </c>
      <c r="AD5" s="5" t="s">
        <v>914</v>
      </c>
      <c r="AE5" s="7">
        <v>68292</v>
      </c>
    </row>
    <row r="6" spans="2:31" x14ac:dyDescent="0.3">
      <c r="B6" s="5" t="s">
        <v>859</v>
      </c>
      <c r="C6" s="7">
        <v>286898</v>
      </c>
      <c r="H6" s="5" t="s">
        <v>837</v>
      </c>
      <c r="I6" s="7">
        <v>28983</v>
      </c>
      <c r="K6" s="5" t="s">
        <v>858</v>
      </c>
      <c r="L6" s="7">
        <v>121905</v>
      </c>
      <c r="R6" s="5" t="s">
        <v>859</v>
      </c>
      <c r="S6" s="7">
        <v>286898</v>
      </c>
      <c r="U6" s="5" t="s">
        <v>152</v>
      </c>
      <c r="V6" s="9">
        <v>4</v>
      </c>
      <c r="AA6" s="5" t="s">
        <v>829</v>
      </c>
      <c r="AB6" s="7">
        <v>313783</v>
      </c>
      <c r="AD6" s="5" t="s">
        <v>858</v>
      </c>
      <c r="AE6" s="7">
        <v>121905</v>
      </c>
    </row>
    <row r="7" spans="2:31" x14ac:dyDescent="0.3">
      <c r="B7" s="5" t="s">
        <v>865</v>
      </c>
      <c r="C7" s="7">
        <v>121296</v>
      </c>
      <c r="H7" s="5" t="s">
        <v>840</v>
      </c>
      <c r="I7" s="7">
        <v>46378</v>
      </c>
      <c r="K7" s="5" t="s">
        <v>894</v>
      </c>
      <c r="L7" s="7">
        <v>73964</v>
      </c>
      <c r="R7" s="5" t="s">
        <v>865</v>
      </c>
      <c r="S7" s="7">
        <v>121296</v>
      </c>
      <c r="U7" s="5" t="s">
        <v>63</v>
      </c>
      <c r="V7" s="9">
        <v>3</v>
      </c>
      <c r="AA7" s="5" t="s">
        <v>701</v>
      </c>
      <c r="AB7" s="7">
        <v>574682</v>
      </c>
      <c r="AD7" s="5" t="s">
        <v>894</v>
      </c>
      <c r="AE7" s="7">
        <v>73964</v>
      </c>
    </row>
    <row r="8" spans="2:31" x14ac:dyDescent="0.3">
      <c r="B8" s="5" t="s">
        <v>933</v>
      </c>
      <c r="C8" s="7">
        <v>586176</v>
      </c>
      <c r="H8" s="5" t="s">
        <v>841</v>
      </c>
      <c r="I8" s="7">
        <v>62662</v>
      </c>
      <c r="K8" s="5" t="s">
        <v>933</v>
      </c>
      <c r="L8" s="7">
        <v>449806</v>
      </c>
      <c r="R8" s="5" t="s">
        <v>933</v>
      </c>
      <c r="S8" s="7">
        <v>586176</v>
      </c>
      <c r="U8" s="5" t="s">
        <v>362</v>
      </c>
      <c r="V8" s="9">
        <v>4</v>
      </c>
      <c r="AA8" s="5" t="s">
        <v>794</v>
      </c>
      <c r="AB8" s="7">
        <v>631585</v>
      </c>
      <c r="AD8" s="5" t="s">
        <v>933</v>
      </c>
      <c r="AE8" s="7">
        <v>449806</v>
      </c>
    </row>
    <row r="9" spans="2:31" x14ac:dyDescent="0.3">
      <c r="H9" s="5" t="s">
        <v>839</v>
      </c>
      <c r="I9" s="7">
        <v>49120</v>
      </c>
      <c r="U9" s="5" t="s">
        <v>158</v>
      </c>
      <c r="V9" s="9">
        <v>7</v>
      </c>
      <c r="AA9" s="5" t="s">
        <v>620</v>
      </c>
      <c r="AB9" s="7">
        <v>331930</v>
      </c>
    </row>
    <row r="10" spans="2:31" x14ac:dyDescent="0.3">
      <c r="H10" s="5" t="s">
        <v>795</v>
      </c>
      <c r="I10" s="7">
        <v>36883</v>
      </c>
      <c r="U10" s="5" t="s">
        <v>318</v>
      </c>
      <c r="V10" s="9">
        <v>4</v>
      </c>
      <c r="AA10" s="5" t="s">
        <v>933</v>
      </c>
      <c r="AB10" s="7">
        <v>3520984</v>
      </c>
    </row>
    <row r="11" spans="2:31" x14ac:dyDescent="0.3">
      <c r="H11" s="5" t="s">
        <v>843</v>
      </c>
      <c r="I11" s="7">
        <v>42504</v>
      </c>
      <c r="U11" s="5" t="s">
        <v>134</v>
      </c>
      <c r="V11" s="9">
        <v>5</v>
      </c>
    </row>
    <row r="12" spans="2:31" x14ac:dyDescent="0.3">
      <c r="H12" s="5" t="s">
        <v>845</v>
      </c>
      <c r="I12" s="7">
        <v>43773</v>
      </c>
      <c r="U12" s="5" t="s">
        <v>508</v>
      </c>
      <c r="V12" s="9">
        <v>4</v>
      </c>
    </row>
    <row r="13" spans="2:31" x14ac:dyDescent="0.3">
      <c r="H13" s="5" t="s">
        <v>822</v>
      </c>
      <c r="I13" s="7">
        <v>42970</v>
      </c>
      <c r="U13" s="5" t="s">
        <v>933</v>
      </c>
      <c r="V13" s="9">
        <v>41</v>
      </c>
      <c r="AA13" s="8" t="s">
        <v>957</v>
      </c>
      <c r="AB13" s="8"/>
      <c r="AD13" s="6" t="s">
        <v>958</v>
      </c>
      <c r="AE13" s="6"/>
    </row>
    <row r="14" spans="2:31" x14ac:dyDescent="0.3">
      <c r="H14" s="5" t="s">
        <v>836</v>
      </c>
      <c r="I14" s="7">
        <v>63339</v>
      </c>
      <c r="AA14" s="4" t="s">
        <v>932</v>
      </c>
      <c r="AB14" t="s">
        <v>943</v>
      </c>
      <c r="AD14" s="4" t="s">
        <v>932</v>
      </c>
      <c r="AE14" t="s">
        <v>943</v>
      </c>
    </row>
    <row r="15" spans="2:31" x14ac:dyDescent="0.3">
      <c r="H15" s="5" t="s">
        <v>933</v>
      </c>
      <c r="I15" s="7">
        <v>586176</v>
      </c>
      <c r="AA15" s="5" t="s">
        <v>937</v>
      </c>
      <c r="AB15" s="7">
        <v>88614</v>
      </c>
      <c r="AD15" s="5">
        <v>0</v>
      </c>
      <c r="AE15" s="7">
        <v>11479</v>
      </c>
    </row>
    <row r="16" spans="2:31" x14ac:dyDescent="0.3">
      <c r="AA16" s="5" t="s">
        <v>939</v>
      </c>
      <c r="AB16" s="7">
        <v>64242</v>
      </c>
      <c r="AD16" s="5">
        <v>1</v>
      </c>
      <c r="AE16" s="7">
        <v>19257</v>
      </c>
    </row>
    <row r="17" spans="27:31" x14ac:dyDescent="0.3">
      <c r="AA17" s="5" t="s">
        <v>935</v>
      </c>
      <c r="AB17" s="7">
        <v>63259</v>
      </c>
      <c r="AD17" s="5">
        <v>2</v>
      </c>
      <c r="AE17" s="7">
        <v>13482</v>
      </c>
    </row>
    <row r="18" spans="27:31" x14ac:dyDescent="0.3">
      <c r="AA18" s="5" t="s">
        <v>938</v>
      </c>
      <c r="AB18" s="7">
        <v>98772</v>
      </c>
      <c r="AD18" s="5">
        <v>3</v>
      </c>
      <c r="AE18" s="7">
        <v>30928</v>
      </c>
    </row>
    <row r="19" spans="27:31" x14ac:dyDescent="0.3">
      <c r="AA19" s="5" t="s">
        <v>941</v>
      </c>
      <c r="AB19" s="7">
        <v>45964</v>
      </c>
      <c r="AD19" s="5">
        <v>4</v>
      </c>
      <c r="AE19" s="7">
        <v>13160</v>
      </c>
    </row>
    <row r="20" spans="27:31" x14ac:dyDescent="0.3">
      <c r="AA20" s="5" t="s">
        <v>940</v>
      </c>
      <c r="AB20" s="7">
        <v>127438</v>
      </c>
      <c r="AD20" s="5">
        <v>5</v>
      </c>
      <c r="AE20" s="7">
        <v>39129</v>
      </c>
    </row>
    <row r="21" spans="27:31" x14ac:dyDescent="0.3">
      <c r="AA21" s="5" t="s">
        <v>936</v>
      </c>
      <c r="AB21" s="7">
        <v>97887</v>
      </c>
      <c r="AD21" s="5">
        <v>6</v>
      </c>
      <c r="AE21" s="7">
        <v>53398</v>
      </c>
    </row>
    <row r="22" spans="27:31" x14ac:dyDescent="0.3">
      <c r="AA22" s="5" t="s">
        <v>933</v>
      </c>
      <c r="AB22" s="7">
        <v>586176</v>
      </c>
      <c r="AD22" s="5">
        <v>7</v>
      </c>
      <c r="AE22" s="7">
        <v>21923</v>
      </c>
    </row>
    <row r="23" spans="27:31" x14ac:dyDescent="0.3">
      <c r="AD23" s="5">
        <v>8</v>
      </c>
      <c r="AE23" s="7">
        <v>15081</v>
      </c>
    </row>
    <row r="24" spans="27:31" x14ac:dyDescent="0.3">
      <c r="AD24" s="5">
        <v>9</v>
      </c>
      <c r="AE24" s="7">
        <v>25659</v>
      </c>
    </row>
    <row r="25" spans="27:31" x14ac:dyDescent="0.3">
      <c r="AD25" s="5">
        <v>10</v>
      </c>
      <c r="AE25" s="7">
        <v>5056</v>
      </c>
    </row>
    <row r="26" spans="27:31" x14ac:dyDescent="0.3">
      <c r="AD26" s="5">
        <v>11</v>
      </c>
      <c r="AE26" s="7">
        <v>14102</v>
      </c>
    </row>
    <row r="27" spans="27:31" x14ac:dyDescent="0.3">
      <c r="AD27" s="5">
        <v>12</v>
      </c>
      <c r="AE27" s="7">
        <v>33538</v>
      </c>
    </row>
    <row r="28" spans="27:31" x14ac:dyDescent="0.3">
      <c r="AD28" s="5">
        <v>13</v>
      </c>
      <c r="AE28" s="7">
        <v>28562</v>
      </c>
    </row>
    <row r="29" spans="27:31" x14ac:dyDescent="0.3">
      <c r="AD29" s="5">
        <v>14</v>
      </c>
      <c r="AE29" s="7">
        <v>23771</v>
      </c>
    </row>
    <row r="30" spans="27:31" x14ac:dyDescent="0.3">
      <c r="AD30" s="5">
        <v>15</v>
      </c>
      <c r="AE30" s="7">
        <v>17469</v>
      </c>
    </row>
    <row r="31" spans="27:31" x14ac:dyDescent="0.3">
      <c r="AD31" s="5">
        <v>16</v>
      </c>
      <c r="AE31" s="7">
        <v>19260</v>
      </c>
    </row>
    <row r="32" spans="27:31" x14ac:dyDescent="0.3">
      <c r="AD32" s="5">
        <v>17</v>
      </c>
      <c r="AE32" s="7">
        <v>10280</v>
      </c>
    </row>
    <row r="33" spans="30:31" x14ac:dyDescent="0.3">
      <c r="AD33" s="5">
        <v>18</v>
      </c>
      <c r="AE33" s="7">
        <v>51674</v>
      </c>
    </row>
    <row r="34" spans="30:31" x14ac:dyDescent="0.3">
      <c r="AD34" s="5">
        <v>19</v>
      </c>
      <c r="AE34" s="7">
        <v>44137</v>
      </c>
    </row>
    <row r="35" spans="30:31" x14ac:dyDescent="0.3">
      <c r="AD35" s="5">
        <v>20</v>
      </c>
      <c r="AE35" s="7">
        <v>22228</v>
      </c>
    </row>
    <row r="36" spans="30:31" x14ac:dyDescent="0.3">
      <c r="AD36" s="5">
        <v>21</v>
      </c>
      <c r="AE36" s="7">
        <v>28534</v>
      </c>
    </row>
    <row r="37" spans="30:31" x14ac:dyDescent="0.3">
      <c r="AD37" s="5">
        <v>22</v>
      </c>
      <c r="AE37" s="7">
        <v>24529</v>
      </c>
    </row>
    <row r="38" spans="30:31" x14ac:dyDescent="0.3">
      <c r="AD38" s="5">
        <v>23</v>
      </c>
      <c r="AE38" s="7">
        <v>19540</v>
      </c>
    </row>
    <row r="39" spans="30:31" x14ac:dyDescent="0.3">
      <c r="AD39" s="5" t="s">
        <v>933</v>
      </c>
      <c r="AE39" s="7">
        <v>586176</v>
      </c>
    </row>
  </sheetData>
  <mergeCells count="12">
    <mergeCell ref="AA13:AB13"/>
    <mergeCell ref="AD13:AE13"/>
    <mergeCell ref="R1:S1"/>
    <mergeCell ref="U1:V1"/>
    <mergeCell ref="X1:Y1"/>
    <mergeCell ref="AA1:AB1"/>
    <mergeCell ref="AD1:AE1"/>
    <mergeCell ref="B1:C1"/>
    <mergeCell ref="E1:F1"/>
    <mergeCell ref="H1:I1"/>
    <mergeCell ref="K1:L1"/>
    <mergeCell ref="N1:P1"/>
  </mergeCell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DCD76-C642-4668-8618-615EECA68181}">
  <dimension ref="A1"/>
  <sheetViews>
    <sheetView zoomScale="64" workbookViewId="0">
      <selection activeCell="AH33" sqref="AH33"/>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30D6C03E-EE3E-4CF0-8A6C-C036D347790C}">
  <ds:schemaRefs/>
</ds:datastoreItem>
</file>

<file path=customXml/itemProps2.xml><?xml version="1.0" encoding="utf-8"?>
<ds:datastoreItem xmlns:ds="http://schemas.openxmlformats.org/officeDocument/2006/customXml" ds:itemID="{9E36FC1D-9C2A-4CF7-A09F-4A9799D3851D}">
  <ds:schemaRefs/>
</ds:datastoreItem>
</file>

<file path=customXml/itemProps3.xml><?xml version="1.0" encoding="utf-8"?>
<ds:datastoreItem xmlns:ds="http://schemas.openxmlformats.org/officeDocument/2006/customXml" ds:itemID="{C810A1A6-7E33-4B56-BFC1-3B7B40546EE4}">
  <ds:schemaRefs/>
</ds:datastoreItem>
</file>

<file path=customXml/itemProps4.xml><?xml version="1.0" encoding="utf-8"?>
<ds:datastoreItem xmlns:ds="http://schemas.openxmlformats.org/officeDocument/2006/customXml" ds:itemID="{16E112BA-B311-42F1-9778-F9A78174A9B9}">
  <ds:schemaRefs/>
</ds:datastoreItem>
</file>

<file path=customXml/itemProps5.xml><?xml version="1.0" encoding="utf-8"?>
<ds:datastoreItem xmlns:ds="http://schemas.openxmlformats.org/officeDocument/2006/customXml" ds:itemID="{9F5D3E7E-A718-4E37-98D3-688DB2E54ED9}">
  <ds:schemaRefs/>
</ds:datastoreItem>
</file>

<file path=customXml/itemProps6.xml><?xml version="1.0" encoding="utf-8"?>
<ds:datastoreItem xmlns:ds="http://schemas.openxmlformats.org/officeDocument/2006/customXml" ds:itemID="{5CACC7E6-A79E-4CD5-87EA-3798745D25D6}">
  <ds:schemaRefs>
    <ds:schemaRef ds:uri="http://schemas.microsoft.com/DataMashup"/>
  </ds:schemaRefs>
</ds:datastoreItem>
</file>

<file path=customXml/itemProps7.xml><?xml version="1.0" encoding="utf-8"?>
<ds:datastoreItem xmlns:ds="http://schemas.openxmlformats.org/officeDocument/2006/customXml" ds:itemID="{C81CE801-DC17-4872-97ED-4FE0193327BA}">
  <ds:schemaRefs/>
</ds:datastoreItem>
</file>

<file path=customXml/itemProps8.xml><?xml version="1.0" encoding="utf-8"?>
<ds:datastoreItem xmlns:ds="http://schemas.openxmlformats.org/officeDocument/2006/customXml" ds:itemID="{FBAAA2D5-F12C-47BD-A313-1F4E3EE45A5C}">
  <ds:schemaRefs/>
</ds:datastoreItem>
</file>

<file path=customXml/itemProps9.xml><?xml version="1.0" encoding="utf-8"?>
<ds:datastoreItem xmlns:ds="http://schemas.openxmlformats.org/officeDocument/2006/customXml" ds:itemID="{CE759561-B8F2-4AB5-82A0-C5DC886ECC1B}">
  <ds:schemaRefs/>
</ds:datastoreItem>
</file>

<file path=customXml/itemProps10.xml><?xml version="1.0" encoding="utf-8"?>
<ds:datastoreItem xmlns:ds="http://schemas.openxmlformats.org/officeDocument/2006/customXml" ds:itemID="{2630FCF3-599B-46E0-AE8B-721B942E38E9}">
  <ds:schemaRefs/>
</ds:datastoreItem>
</file>

<file path=customXml/itemProps11.xml><?xml version="1.0" encoding="utf-8"?>
<ds:datastoreItem xmlns:ds="http://schemas.openxmlformats.org/officeDocument/2006/customXml" ds:itemID="{DEBE25E6-27DC-4316-AEA7-2F328CF81AC9}">
  <ds:schemaRefs/>
</ds:datastoreItem>
</file>

<file path=customXml/itemProps12.xml><?xml version="1.0" encoding="utf-8"?>
<ds:datastoreItem xmlns:ds="http://schemas.openxmlformats.org/officeDocument/2006/customXml" ds:itemID="{0B1FB576-A832-40BA-A580-338DBA29E8F9}">
  <ds:schemaRefs/>
</ds:datastoreItem>
</file>

<file path=customXml/itemProps13.xml><?xml version="1.0" encoding="utf-8"?>
<ds:datastoreItem xmlns:ds="http://schemas.openxmlformats.org/officeDocument/2006/customXml" ds:itemID="{775CD7D2-26BD-4F4C-AB27-F3A427B27ACB}">
  <ds:schemaRefs/>
</ds:datastoreItem>
</file>

<file path=customXml/itemProps14.xml><?xml version="1.0" encoding="utf-8"?>
<ds:datastoreItem xmlns:ds="http://schemas.openxmlformats.org/officeDocument/2006/customXml" ds:itemID="{E6D329EE-7AB0-46A4-BC6D-E50126E57E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 Shree</dc:creator>
  <cp:lastModifiedBy>Chitra Shree</cp:lastModifiedBy>
  <dcterms:created xsi:type="dcterms:W3CDTF">2025-10-03T09:17:08Z</dcterms:created>
  <dcterms:modified xsi:type="dcterms:W3CDTF">2025-10-04T13:45:08Z</dcterms:modified>
</cp:coreProperties>
</file>